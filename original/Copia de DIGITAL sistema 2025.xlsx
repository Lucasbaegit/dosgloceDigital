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" sheetId="1" r:id="rId5"/>
    <sheet state="visible" name="Laminado" sheetId="2" r:id="rId6"/>
    <sheet state="visible" name="corte" sheetId="3" r:id="rId7"/>
    <sheet state="visible" name="circulares" sheetId="4" r:id="rId8"/>
    <sheet state="visible" name="troquelados" sheetId="5" r:id="rId9"/>
    <sheet state="visible" name="Bajadas" sheetId="6" r:id="rId10"/>
    <sheet state="visible" name="PAPEL US$" sheetId="7" r:id="rId11"/>
    <sheet state="visible" name="Hoja2" sheetId="8" r:id="rId12"/>
    <sheet state="visible" name="Adicionales" sheetId="9" r:id="rId13"/>
    <sheet state="visible" name="carpetas" sheetId="10" r:id="rId14"/>
    <sheet state="visible" name="Productos" sheetId="11" r:id="rId15"/>
    <sheet state="visible" name="Hoja4" sheetId="12" r:id="rId16"/>
    <sheet state="visible" name="Encuadernación" sheetId="13" r:id="rId17"/>
    <sheet state="visible" name="STICKERS IMANES" sheetId="14" r:id="rId18"/>
    <sheet state="visible" name="anotadores" sheetId="15" r:id="rId19"/>
    <sheet state="visible" name="Hoja3" sheetId="16" r:id="rId20"/>
    <sheet state="visible" name="COSTO MATERIAL" sheetId="17" r:id="rId21"/>
    <sheet state="visible" name="impo" sheetId="18" r:id="rId22"/>
  </sheets>
  <definedNames/>
  <calcPr/>
</workbook>
</file>

<file path=xl/sharedStrings.xml><?xml version="1.0" encoding="utf-8"?>
<sst xmlns="http://schemas.openxmlformats.org/spreadsheetml/2006/main" count="4035" uniqueCount="856">
  <si>
    <t>PACK</t>
  </si>
  <si>
    <t>Parametros ajustables</t>
  </si>
  <si>
    <t>Bajada 32x47</t>
  </si>
  <si>
    <t>350g</t>
  </si>
  <si>
    <t>300g</t>
  </si>
  <si>
    <t>200g</t>
  </si>
  <si>
    <t>150g</t>
  </si>
  <si>
    <t>90g</t>
  </si>
  <si>
    <t>autoadhesivo</t>
  </si>
  <si>
    <t>Precio del papel por hoja</t>
  </si>
  <si>
    <t>4/0</t>
  </si>
  <si>
    <t>4/4</t>
  </si>
  <si>
    <t>precio de papel</t>
  </si>
  <si>
    <t>XL</t>
  </si>
  <si>
    <t>33X48</t>
  </si>
  <si>
    <t>32X47</t>
  </si>
  <si>
    <t>A4</t>
  </si>
  <si>
    <t>100 a 300</t>
  </si>
  <si>
    <t>301 a 500</t>
  </si>
  <si>
    <t>501 a 1000</t>
  </si>
  <si>
    <t>Bajada 33x48</t>
  </si>
  <si>
    <t>cartulina triplex 300g</t>
  </si>
  <si>
    <t>Coeficiente papel</t>
  </si>
  <si>
    <t>Bajada XL</t>
  </si>
  <si>
    <t>350gr</t>
  </si>
  <si>
    <t>300gr</t>
  </si>
  <si>
    <t>200gr</t>
  </si>
  <si>
    <t>150gr</t>
  </si>
  <si>
    <t>90gr</t>
  </si>
  <si>
    <t>COSTO DE BAJADA</t>
  </si>
  <si>
    <t>(costo de papel x coef ganacia) + (costo clic * coef 4/0) + (costo clic x coef 4/4)</t>
  </si>
  <si>
    <t xml:space="preserve">COSTO DE PAPEL </t>
  </si>
  <si>
    <t>costo de pliego/coef de corte</t>
  </si>
  <si>
    <t>costo de clic</t>
  </si>
  <si>
    <t>toner + gastos amortiz</t>
  </si>
  <si>
    <t>Bajada A4</t>
  </si>
  <si>
    <t>costo de papel</t>
  </si>
  <si>
    <t>BLANCO Y NEGRO</t>
  </si>
  <si>
    <t>32x47</t>
  </si>
  <si>
    <t>Bajada ByN</t>
  </si>
  <si>
    <t>1/0</t>
  </si>
  <si>
    <t>1/1</t>
  </si>
  <si>
    <t>101 a 500</t>
  </si>
  <si>
    <t>1001 a 5000</t>
  </si>
  <si>
    <t>precio x clic</t>
  </si>
  <si>
    <t>Rango Pack color</t>
  </si>
  <si>
    <t>A3</t>
  </si>
  <si>
    <t>Coef 4/0</t>
  </si>
  <si>
    <t>coef 4/4</t>
  </si>
  <si>
    <t>33x48</t>
  </si>
  <si>
    <t>1 a 20</t>
  </si>
  <si>
    <t>20 a 100</t>
  </si>
  <si>
    <t>Coeficiente XL</t>
  </si>
  <si>
    <t>Coeficiente A4</t>
  </si>
  <si>
    <t>costo clic color</t>
  </si>
  <si>
    <t>costo clic ByN</t>
  </si>
  <si>
    <t>502 a 1000</t>
  </si>
  <si>
    <t>Rango Pack ByN</t>
  </si>
  <si>
    <t>Coef 1/0</t>
  </si>
  <si>
    <t>coef 1/1</t>
  </si>
  <si>
    <t>,</t>
  </si>
  <si>
    <t>Laminado x lado</t>
  </si>
  <si>
    <t>Tamaño de hoja A3Plus (32x47cm)</t>
  </si>
  <si>
    <t>NUEVA TERMINACION</t>
  </si>
  <si>
    <t>52x72</t>
  </si>
  <si>
    <t>72x102</t>
  </si>
  <si>
    <t>costo</t>
  </si>
  <si>
    <t xml:space="preserve">frente </t>
  </si>
  <si>
    <t xml:space="preserve">Cantidad </t>
  </si>
  <si>
    <t>brillo</t>
  </si>
  <si>
    <t>mate</t>
  </si>
  <si>
    <t>Laca UV</t>
  </si>
  <si>
    <t>Brillo</t>
  </si>
  <si>
    <t xml:space="preserve">Mate </t>
  </si>
  <si>
    <t>Soft Touch</t>
  </si>
  <si>
    <t>0 - 10</t>
  </si>
  <si>
    <t>11-50</t>
  </si>
  <si>
    <t>51-100</t>
  </si>
  <si>
    <t>101-500</t>
  </si>
  <si>
    <t>501-1000</t>
  </si>
  <si>
    <t>1001 +</t>
  </si>
  <si>
    <t>aterciopelado</t>
  </si>
  <si>
    <t>Plastificado x  unid</t>
  </si>
  <si>
    <t>Oficio</t>
  </si>
  <si>
    <t>precio</t>
  </si>
  <si>
    <t>Adicional Trabajo EXPRESS</t>
  </si>
  <si>
    <t xml:space="preserve"> + 40% </t>
  </si>
  <si>
    <t>uss</t>
  </si>
  <si>
    <t>medida</t>
  </si>
  <si>
    <t>PROBOP</t>
  </si>
  <si>
    <t>bobina</t>
  </si>
  <si>
    <t>cm</t>
  </si>
  <si>
    <t>IVA</t>
  </si>
  <si>
    <t>$ cm lineal</t>
  </si>
  <si>
    <t>hoja A3+ 33x48</t>
  </si>
  <si>
    <t>52 cm</t>
  </si>
  <si>
    <t>LACA UV</t>
  </si>
  <si>
    <t>US x kilo</t>
  </si>
  <si>
    <t>corte</t>
  </si>
  <si>
    <t>Ejemplo:</t>
  </si>
  <si>
    <t>CUANTO SALE CORTAR 100 bajadas para postales 10x15cm de 300g</t>
  </si>
  <si>
    <t>CUANTO SALE CORTAR 500 bajadas para tarjetas 9x5cm de 350g (corte seco)</t>
  </si>
  <si>
    <t>DATOS:</t>
  </si>
  <si>
    <t>CORTE</t>
  </si>
  <si>
    <t>Cantidad</t>
  </si>
  <si>
    <t>100 bajadas</t>
  </si>
  <si>
    <t>500 bajadas</t>
  </si>
  <si>
    <t>Medidas</t>
  </si>
  <si>
    <t>Posturas x pliego</t>
  </si>
  <si>
    <t>Cortes</t>
  </si>
  <si>
    <t>1 cm equivale, aproximadamente y a modo de referencia, a las siguientes cantidades de papel sin laminar.</t>
  </si>
  <si>
    <t xml:space="preserve">Papel </t>
  </si>
  <si>
    <t>Al medio</t>
  </si>
  <si>
    <t>8 cortes</t>
  </si>
  <si>
    <t>13 cortes</t>
  </si>
  <si>
    <t>A3 - refilado</t>
  </si>
  <si>
    <t>Gramos</t>
  </si>
  <si>
    <t>Unid</t>
  </si>
  <si>
    <t>350 g</t>
  </si>
  <si>
    <t>Ciclo de corte: 100/46= 2,17cm = $60</t>
  </si>
  <si>
    <t>Ciclo de corte: 500/35= 14,28cm = $70</t>
  </si>
  <si>
    <t>15x21</t>
  </si>
  <si>
    <t>300 g</t>
  </si>
  <si>
    <t>Cantidad de cortes: 8 cortes: $20</t>
  </si>
  <si>
    <t>Cantidad de cortes: $40</t>
  </si>
  <si>
    <t>10x15</t>
  </si>
  <si>
    <t>200 g</t>
  </si>
  <si>
    <t>Precio total por corte: $20+$60=$80</t>
  </si>
  <si>
    <t>Precio total por corte: $70+$40=$110</t>
  </si>
  <si>
    <t>10x10</t>
  </si>
  <si>
    <t>150 g</t>
  </si>
  <si>
    <t>9x5 corte seco</t>
  </si>
  <si>
    <t>90 g</t>
  </si>
  <si>
    <t>9x5 doble corte</t>
  </si>
  <si>
    <t>Autoadhesivo</t>
  </si>
  <si>
    <t>7x5</t>
  </si>
  <si>
    <t>Imantada</t>
  </si>
  <si>
    <t>CUANTO SALE CORTAR 2000 bajadas para folletos 10x15cm de 90g</t>
  </si>
  <si>
    <t>5x5</t>
  </si>
  <si>
    <t>6x4</t>
  </si>
  <si>
    <t>2000 bajadas</t>
  </si>
  <si>
    <t>Ciclo de corte hasta 33X70 cm</t>
  </si>
  <si>
    <t xml:space="preserve">Cantidad de cortes </t>
  </si>
  <si>
    <t>hasta 2 cm</t>
  </si>
  <si>
    <t>Cantidad de cortes</t>
  </si>
  <si>
    <t>$</t>
  </si>
  <si>
    <t>Ciclo de corte: 2000/95= 21,05 cm = $90 + (5cm extras x $15) = $165</t>
  </si>
  <si>
    <t>hasta 6 cm</t>
  </si>
  <si>
    <t>1275+60+200</t>
  </si>
  <si>
    <t>1 a 5 cortes</t>
  </si>
  <si>
    <t>Cantidad de cortes: $20</t>
  </si>
  <si>
    <t>hasta 10 cm</t>
  </si>
  <si>
    <t>6 a 10 cortes</t>
  </si>
  <si>
    <t>Precio total por corte: $165+$20 =$185</t>
  </si>
  <si>
    <t>hasta 16 cm</t>
  </si>
  <si>
    <t>11 a 15 cortes</t>
  </si>
  <si>
    <t>Adicional por cada cm extra $10</t>
  </si>
  <si>
    <t>16 a 20 cortes</t>
  </si>
  <si>
    <t>FORMULA: CICLO DE CORTE + CANTIDAD DE CORTES = PRECIO POR CORTE</t>
  </si>
  <si>
    <t>21 a 40 cortes</t>
  </si>
  <si>
    <t>40 a 80 cortes</t>
  </si>
  <si>
    <t>Adicional por corte EXPRESS: 40%</t>
  </si>
  <si>
    <t>(en el momento)</t>
  </si>
  <si>
    <t>COSTO  DÓLAR</t>
  </si>
  <si>
    <t>troq circularf frente</t>
  </si>
  <si>
    <t>1CM</t>
  </si>
  <si>
    <t>2CM</t>
  </si>
  <si>
    <t>3CM</t>
  </si>
  <si>
    <t>4CM</t>
  </si>
  <si>
    <t>5CM</t>
  </si>
  <si>
    <t>6CM</t>
  </si>
  <si>
    <t>7CM</t>
  </si>
  <si>
    <t>8CM</t>
  </si>
  <si>
    <t>9CM</t>
  </si>
  <si>
    <t>CLICK A3+</t>
  </si>
  <si>
    <t>PAPEL</t>
  </si>
  <si>
    <t>troq circular  frente y dorso</t>
  </si>
  <si>
    <t>CLICK FYD</t>
  </si>
  <si>
    <t>x pliegos</t>
  </si>
  <si>
    <t>2 a 25</t>
  </si>
  <si>
    <t>26 a 50</t>
  </si>
  <si>
    <t>51 a 100</t>
  </si>
  <si>
    <t>101 a 300</t>
  </si>
  <si>
    <t>Laminado x 1</t>
  </si>
  <si>
    <t>Laminado x 2</t>
  </si>
  <si>
    <t>1 a 10</t>
  </si>
  <si>
    <t>11 a 50</t>
  </si>
  <si>
    <t>15x15 cm.</t>
  </si>
  <si>
    <t>7x7 cm.</t>
  </si>
  <si>
    <t>4x4 cm.</t>
  </si>
  <si>
    <t>2x2 cm.</t>
  </si>
  <si>
    <t>1x1 cm,</t>
  </si>
  <si>
    <t>planchas troqueladas</t>
  </si>
  <si>
    <t>SIMPLE</t>
  </si>
  <si>
    <t>MEDIO</t>
  </si>
  <si>
    <t>COMPLEJO</t>
  </si>
  <si>
    <t>MUY COMPLEJO</t>
  </si>
  <si>
    <t>ULTRA COMPLEJO</t>
  </si>
  <si>
    <t>Dólar</t>
  </si>
  <si>
    <t>1 a 2</t>
  </si>
  <si>
    <t>stickers</t>
  </si>
  <si>
    <t>10cm</t>
  </si>
  <si>
    <t>11cm.</t>
  </si>
  <si>
    <t>12-13-14-15cm.</t>
  </si>
  <si>
    <t>16/17</t>
  </si>
  <si>
    <t>18/19/20cm.</t>
  </si>
  <si>
    <t>3 a 9</t>
  </si>
  <si>
    <t>10 a 25</t>
  </si>
  <si>
    <t>costo clic color A3</t>
  </si>
  <si>
    <t>costo clic XA3</t>
  </si>
  <si>
    <t>mas de 100</t>
  </si>
  <si>
    <t>1cm.</t>
  </si>
  <si>
    <t>2cm.</t>
  </si>
  <si>
    <t>3cm.</t>
  </si>
  <si>
    <t>4cm.</t>
  </si>
  <si>
    <t>5cm.</t>
  </si>
  <si>
    <t>6cm.</t>
  </si>
  <si>
    <t>7cm.</t>
  </si>
  <si>
    <t>8cm.</t>
  </si>
  <si>
    <t>9cm.</t>
  </si>
  <si>
    <t>16/17cm.</t>
  </si>
  <si>
    <t>hoja</t>
  </si>
  <si>
    <t>mas de 15x15 cm.</t>
  </si>
  <si>
    <t>de 10x10 a 14x14 cm</t>
  </si>
  <si>
    <t>de 5x5 a 9x9 cm,</t>
  </si>
  <si>
    <t>de2x2 a 4x4 cm,</t>
  </si>
  <si>
    <t>de 1x1 a 2x2cm.</t>
  </si>
  <si>
    <t xml:space="preserve">PAPEL </t>
  </si>
  <si>
    <t>opp</t>
  </si>
  <si>
    <t>5to color</t>
  </si>
  <si>
    <t>Sticker</t>
  </si>
  <si>
    <t>cm2</t>
  </si>
  <si>
    <t xml:space="preserve">TROQUELADO </t>
  </si>
  <si>
    <t>GEMINI</t>
  </si>
  <si>
    <t>medio corte</t>
  </si>
  <si>
    <t>simple</t>
  </si>
  <si>
    <t xml:space="preserve">medio </t>
  </si>
  <si>
    <t>complejo</t>
  </si>
  <si>
    <t>muy complejo</t>
  </si>
  <si>
    <t>ultra complejo</t>
  </si>
  <si>
    <t xml:space="preserve">CM </t>
  </si>
  <si>
    <t>minimo</t>
  </si>
  <si>
    <t>calcos</t>
  </si>
  <si>
    <t>sticker</t>
  </si>
  <si>
    <t>laca uv</t>
  </si>
  <si>
    <t>12-13-14-15</t>
  </si>
  <si>
    <t>18/19/20/21/22</t>
  </si>
  <si>
    <t>OPP</t>
  </si>
  <si>
    <t>GIGANTO</t>
  </si>
  <si>
    <t>u opp</t>
  </si>
  <si>
    <t>1 m2</t>
  </si>
  <si>
    <t>m2</t>
  </si>
  <si>
    <t>alto</t>
  </si>
  <si>
    <t>ancho</t>
  </si>
  <si>
    <t>material</t>
  </si>
  <si>
    <t>corte final</t>
  </si>
  <si>
    <t>descartonado</t>
  </si>
  <si>
    <t>cantidad</t>
  </si>
  <si>
    <t>total</t>
  </si>
  <si>
    <t>BAJADAS</t>
  </si>
  <si>
    <t>tienda</t>
  </si>
  <si>
    <t>A3+ (32x47)</t>
  </si>
  <si>
    <t>Triplex</t>
  </si>
  <si>
    <t>115g</t>
  </si>
  <si>
    <t>80 grs</t>
  </si>
  <si>
    <t>Imán</t>
  </si>
  <si>
    <t>OPP  blco o blanco</t>
  </si>
  <si>
    <t>30x46</t>
  </si>
  <si>
    <t>Precio de papel</t>
  </si>
  <si>
    <t>Obra</t>
  </si>
  <si>
    <t>XA3 (33x48)</t>
  </si>
  <si>
    <t>OBRA</t>
  </si>
  <si>
    <t>31x47</t>
  </si>
  <si>
    <t>costo de bobina iman</t>
  </si>
  <si>
    <t xml:space="preserve"> XL 32x70</t>
  </si>
  <si>
    <t>IMAN  A3+</t>
  </si>
  <si>
    <t>70x30 cm</t>
  </si>
  <si>
    <t>sobres</t>
  </si>
  <si>
    <t>Sobre Bolsa A4</t>
  </si>
  <si>
    <t>Sobre bolsa</t>
  </si>
  <si>
    <t>Oficio Ingles</t>
  </si>
  <si>
    <t>22,9x32,4</t>
  </si>
  <si>
    <t>27x37</t>
  </si>
  <si>
    <t>25x35,3</t>
  </si>
  <si>
    <t>12x23,5</t>
  </si>
  <si>
    <t>4--0</t>
  </si>
  <si>
    <t>1--0</t>
  </si>
  <si>
    <t xml:space="preserve">Tamaño </t>
  </si>
  <si>
    <t>22x31 cm</t>
  </si>
  <si>
    <t>oficial</t>
  </si>
  <si>
    <t>blue</t>
  </si>
  <si>
    <t>clic</t>
  </si>
  <si>
    <t>5 COLOR</t>
  </si>
  <si>
    <t>ESPECIAL</t>
  </si>
  <si>
    <t>0.147000</t>
  </si>
  <si>
    <t>A3 PLUS</t>
  </si>
  <si>
    <t>80 grs,</t>
  </si>
  <si>
    <t>32x47 cm</t>
  </si>
  <si>
    <t>2 a 50</t>
  </si>
  <si>
    <t>Rango color</t>
  </si>
  <si>
    <t>XA3</t>
  </si>
  <si>
    <t>33x48 cm</t>
  </si>
  <si>
    <t>5color</t>
  </si>
  <si>
    <t>1002 a 5000</t>
  </si>
  <si>
    <t>OPP + blco</t>
  </si>
  <si>
    <t>Encuadernacion</t>
  </si>
  <si>
    <t>biender</t>
  </si>
  <si>
    <t>ringwire</t>
  </si>
  <si>
    <t>espiral</t>
  </si>
  <si>
    <t>acaballado</t>
  </si>
  <si>
    <t>cambio</t>
  </si>
  <si>
    <t>dólar</t>
  </si>
  <si>
    <t>obra 70 grs. 65x95cm</t>
  </si>
  <si>
    <t>obra 80  grs. 65x95cm</t>
  </si>
  <si>
    <t>obra 90  grs. 65x95cm</t>
  </si>
  <si>
    <t>obra 90  grs. 65x95cm boreal</t>
  </si>
  <si>
    <t>obra 90  grs. 72x102 cm</t>
  </si>
  <si>
    <t>obra 90  grs. 72x102 cm boreal</t>
  </si>
  <si>
    <t>ilustracion 90  grs. 65x95cm</t>
  </si>
  <si>
    <t>ilustracion 115  grs. 65x95cm</t>
  </si>
  <si>
    <t>ilustracion 150  grs. 65x95cm</t>
  </si>
  <si>
    <t>ilustracion 200  grs. 65x95cm</t>
  </si>
  <si>
    <t>ilustracion 90 grs. 72x102 cm</t>
  </si>
  <si>
    <t>ilustracion 115  grs. 72x102 cm</t>
  </si>
  <si>
    <t>ilustracion 150  grs. 72x102cm</t>
  </si>
  <si>
    <t>ilustracion 200 grs 72x102</t>
  </si>
  <si>
    <t>ilustracion 300 grs brillo 65x95 cm</t>
  </si>
  <si>
    <t>ilustracion 300 grs brillo 72x102 cm</t>
  </si>
  <si>
    <t>ilustracion 350 grs mate 65x95 cm</t>
  </si>
  <si>
    <t>ilustracion 350 grs mate 72x102 cm</t>
  </si>
  <si>
    <t>MARCOUX</t>
  </si>
  <si>
    <t>Cartulina duplex 68x96 325</t>
  </si>
  <si>
    <t>Cartulina maule x 68x96 300</t>
  </si>
  <si>
    <t>blanca</t>
  </si>
  <si>
    <t>impresa</t>
  </si>
  <si>
    <t>solapa</t>
  </si>
  <si>
    <t>Cartulina triplex 68x96 325</t>
  </si>
  <si>
    <t>autoadhesivo 90 50x65</t>
  </si>
  <si>
    <t>autoadhesivo 90 100x70</t>
  </si>
  <si>
    <t>OPP BLANCO</t>
  </si>
  <si>
    <t>50x70</t>
  </si>
  <si>
    <t>72x52</t>
  </si>
  <si>
    <t>OPP CLEAR</t>
  </si>
  <si>
    <t>ctp x chapa</t>
  </si>
  <si>
    <t>millar</t>
  </si>
  <si>
    <t>postura sin millar</t>
  </si>
  <si>
    <t>Craft 80 grs medida???</t>
  </si>
  <si>
    <t>85x120</t>
  </si>
  <si>
    <t>kg u$s 2,21</t>
  </si>
  <si>
    <t>Craft 200 grs medida???</t>
  </si>
  <si>
    <t>4//4</t>
  </si>
  <si>
    <t>Craft 270 grs medida???</t>
  </si>
  <si>
    <t>tacho 22 kilos rinde</t>
  </si>
  <si>
    <t>pliegos</t>
  </si>
  <si>
    <t>leito</t>
  </si>
  <si>
    <t>x1000</t>
  </si>
  <si>
    <t>remis</t>
  </si>
  <si>
    <t>x2500</t>
  </si>
  <si>
    <t xml:space="preserve">tarot papel </t>
  </si>
  <si>
    <t>cola</t>
  </si>
  <si>
    <t>x5000</t>
  </si>
  <si>
    <t>impresión</t>
  </si>
  <si>
    <t>CÓD: 80082</t>
  </si>
  <si>
    <t>cada pliego</t>
  </si>
  <si>
    <t>troquel</t>
  </si>
  <si>
    <t xml:space="preserve">LACA DIGITAL AQUALINA </t>
  </si>
  <si>
    <t>pliego laca digital con iva</t>
  </si>
  <si>
    <t>troquelado</t>
  </si>
  <si>
    <t>IMAN ILPEA</t>
  </si>
  <si>
    <t>bobina x2000 cm</t>
  </si>
  <si>
    <t>pliego iman 31x47 con iva</t>
  </si>
  <si>
    <t>montado</t>
  </si>
  <si>
    <t>COLA IMAN</t>
  </si>
  <si>
    <t>QM-175 3 .10 U$/kg</t>
  </si>
  <si>
    <t>tacho kg</t>
  </si>
  <si>
    <t>rinde</t>
  </si>
  <si>
    <t>TINTA</t>
  </si>
  <si>
    <t>kg</t>
  </si>
  <si>
    <t>CHAPAS 72x52</t>
  </si>
  <si>
    <t>c/u</t>
  </si>
  <si>
    <t>DLT</t>
  </si>
  <si>
    <t xml:space="preserve">4 chapas </t>
  </si>
  <si>
    <t>8 chapas</t>
  </si>
  <si>
    <t>4/0 x 1000</t>
  </si>
  <si>
    <t>cm lineal</t>
  </si>
  <si>
    <t>digital</t>
  </si>
  <si>
    <t>4/0 x 2500</t>
  </si>
  <si>
    <t>55 cm,</t>
  </si>
  <si>
    <t>offset</t>
  </si>
  <si>
    <t>4/0 x 5000</t>
  </si>
  <si>
    <t>50 cm</t>
  </si>
  <si>
    <t>73 cm</t>
  </si>
  <si>
    <t>4/4 x 1000</t>
  </si>
  <si>
    <t>total de cm2</t>
  </si>
  <si>
    <t>$ cm2</t>
  </si>
  <si>
    <t>total $</t>
  </si>
  <si>
    <t>4/4 x 2500</t>
  </si>
  <si>
    <t>4/4 x 5000</t>
  </si>
  <si>
    <t>ctp/postura/millar/laminado</t>
  </si>
  <si>
    <t>iman</t>
  </si>
  <si>
    <t>montado/cola</t>
  </si>
  <si>
    <t>troquelado/ postura / cortante</t>
  </si>
  <si>
    <t>10x17</t>
  </si>
  <si>
    <t>7 posturas</t>
  </si>
  <si>
    <t xml:space="preserve">cartu </t>
  </si>
  <si>
    <t>base sin  laminar</t>
  </si>
  <si>
    <t>base 4/0</t>
  </si>
  <si>
    <t>total con armado</t>
  </si>
  <si>
    <t>150 grs</t>
  </si>
  <si>
    <t>4 posturas</t>
  </si>
  <si>
    <t>Puntas redondas</t>
  </si>
  <si>
    <t>Agujereado</t>
  </si>
  <si>
    <t>Trazado 1/2  flejeS</t>
  </si>
  <si>
    <t>Puntillado 1 fleje</t>
  </si>
  <si>
    <t>Troquelado postura primer millar</t>
  </si>
  <si>
    <t>Precio</t>
  </si>
  <si>
    <t>1 a 100</t>
  </si>
  <si>
    <t>1 a 50</t>
  </si>
  <si>
    <t>101 a 250</t>
  </si>
  <si>
    <t>251 a 500</t>
  </si>
  <si>
    <t>* Tiempo de producción + 24 hs</t>
  </si>
  <si>
    <t>* Tiempo de producción + 24 a 48 hs</t>
  </si>
  <si>
    <t>* Millar adicional: $200</t>
  </si>
  <si>
    <t>2 FLEJES EN PARALELO</t>
  </si>
  <si>
    <t xml:space="preserve">* Cortantes desde $400 </t>
  </si>
  <si>
    <t>Tamaño máximo de pliego XA3</t>
  </si>
  <si>
    <t>* Consultar por cortantes disponibles. Uso de cortante existente $50.</t>
  </si>
  <si>
    <t>* Tiempo de producción + 48 - 72hs</t>
  </si>
  <si>
    <t>ADICIONAL TRABAJO EXPRESS + 40%</t>
  </si>
  <si>
    <t>DOBLADO DÍPTICO</t>
  </si>
  <si>
    <t>DOBLADO TRIPTICO</t>
  </si>
  <si>
    <t>NUMERADO</t>
  </si>
  <si>
    <t>costo por bajada</t>
  </si>
  <si>
    <t>0 a 1</t>
  </si>
  <si>
    <t>2 a 10</t>
  </si>
  <si>
    <t>Hasta 150g</t>
  </si>
  <si>
    <t>Tiempo de producción +24 a 48hs</t>
  </si>
  <si>
    <t>AGREGAR DETALLE DE TIPOS DE DOBLADOS</t>
  </si>
  <si>
    <t>s111</t>
  </si>
  <si>
    <t>Plancha troquelada</t>
  </si>
  <si>
    <t>Impresión quinto color</t>
  </si>
  <si>
    <t>Area disponible 29x44 cm</t>
  </si>
  <si>
    <t>pasada</t>
  </si>
  <si>
    <t>No incluye costo de impresión</t>
  </si>
  <si>
    <t>por lado x hoja</t>
  </si>
  <si>
    <t>Tamaño de cada troquelado</t>
  </si>
  <si>
    <t>hasta 3x3 cm</t>
  </si>
  <si>
    <t>hasta 5x5 cm</t>
  </si>
  <si>
    <t>Hasta 10x10 cm</t>
  </si>
  <si>
    <t>Hasta 29x44 cm</t>
  </si>
  <si>
    <t>4/0 + blanco</t>
  </si>
  <si>
    <t>blanco</t>
  </si>
  <si>
    <t>Precio por lado</t>
  </si>
  <si>
    <t>2 a 5</t>
  </si>
  <si>
    <t>6 a 25</t>
  </si>
  <si>
    <t>Tiempo de producción 48 - 72hs</t>
  </si>
  <si>
    <t>Penalización por alta complejidad +10% (a evaluación de Promo directa)</t>
  </si>
  <si>
    <t>Envarillado metalico</t>
  </si>
  <si>
    <t>TAPAS PARA ENCUADERNACION</t>
  </si>
  <si>
    <t>Precio por unid</t>
  </si>
  <si>
    <t>negro</t>
  </si>
  <si>
    <t xml:space="preserve">hasta 46 cm </t>
  </si>
  <si>
    <t>cristal</t>
  </si>
  <si>
    <t>SIN LAMINAR O LAMINADAS BRILLO</t>
  </si>
  <si>
    <t>LAMINADAS</t>
  </si>
  <si>
    <t>PREMIUM</t>
  </si>
  <si>
    <t>DELUXE</t>
  </si>
  <si>
    <t>4/1</t>
  </si>
  <si>
    <t>pegado</t>
  </si>
  <si>
    <t>OFICIO</t>
  </si>
  <si>
    <t>SIN LAMINAR</t>
  </si>
  <si>
    <t>DIGITAL</t>
  </si>
  <si>
    <t>entran</t>
  </si>
  <si>
    <t>Sin laminar</t>
  </si>
  <si>
    <t>Laminado Brillo</t>
  </si>
  <si>
    <t>Laminado Mate</t>
  </si>
  <si>
    <t>Solapa</t>
  </si>
  <si>
    <t>troquealdo</t>
  </si>
  <si>
    <t>hoja A3</t>
  </si>
  <si>
    <t>pliego 32x47</t>
  </si>
  <si>
    <t>impresión digital</t>
  </si>
  <si>
    <t>9x2,5</t>
  </si>
  <si>
    <t>9x5</t>
  </si>
  <si>
    <t xml:space="preserve">Tarjetas </t>
  </si>
  <si>
    <t>8,5x5,5</t>
  </si>
  <si>
    <t>Tiempo de producción</t>
  </si>
  <si>
    <t>Papel ilustración 300g</t>
  </si>
  <si>
    <t>Tamaño 9x5</t>
  </si>
  <si>
    <t>costo sobre</t>
  </si>
  <si>
    <t>cantidad de bajadas - 24 x ´postura</t>
  </si>
  <si>
    <t>costo de impresión x bajada</t>
  </si>
  <si>
    <t>costo de laminado</t>
  </si>
  <si>
    <t>costo de corte</t>
  </si>
  <si>
    <t xml:space="preserve">Sobre Bolsa </t>
  </si>
  <si>
    <t>Laminado brillo</t>
  </si>
  <si>
    <t>Laminado mate</t>
  </si>
  <si>
    <t xml:space="preserve">Tarjetas  </t>
  </si>
  <si>
    <t>Laminado soft touch</t>
  </si>
  <si>
    <t>Sectorizado o blanco</t>
  </si>
  <si>
    <t xml:space="preserve">obra primera </t>
  </si>
  <si>
    <t>triplex</t>
  </si>
  <si>
    <t>Gramaje 63g</t>
  </si>
  <si>
    <t>cartulina triplex</t>
  </si>
  <si>
    <t xml:space="preserve">Impresión 1 lado </t>
  </si>
  <si>
    <t>PRECIO DE VENTA</t>
  </si>
  <si>
    <t>Color blanco</t>
  </si>
  <si>
    <t>3/4/5 mm</t>
  </si>
  <si>
    <t>LA IMPRESION NO PUEDE CUBRIR EL 100% DE LA CARA DEL SOBRE.</t>
  </si>
  <si>
    <t>Hoja membrete 4/0</t>
  </si>
  <si>
    <t>TARJETAS</t>
  </si>
  <si>
    <t>Individuales</t>
  </si>
  <si>
    <t>Papel kraf</t>
  </si>
  <si>
    <t>Papel obra</t>
  </si>
  <si>
    <t>Papel ilustración 350g</t>
  </si>
  <si>
    <t>impresión 4/0</t>
  </si>
  <si>
    <t>PRECIO DE VENTA TARJETAS</t>
  </si>
  <si>
    <t xml:space="preserve">Postales </t>
  </si>
  <si>
    <t>POSTALES</t>
  </si>
  <si>
    <t>Tamaño 10x15</t>
  </si>
  <si>
    <t>cantidad de bajadas - 9 x ´postura</t>
  </si>
  <si>
    <t>PRECIO DE VENTA POSTALES</t>
  </si>
  <si>
    <t>Postales</t>
  </si>
  <si>
    <t>postales triplex</t>
  </si>
  <si>
    <t>Cartulina triplex</t>
  </si>
  <si>
    <t>Folletos</t>
  </si>
  <si>
    <t>Impresión color</t>
  </si>
  <si>
    <t>Papel ilustración 150g</t>
  </si>
  <si>
    <t>Impresión Color</t>
  </si>
  <si>
    <t>cantidad de bajadas</t>
  </si>
  <si>
    <t>PRECIO DE VENTA FOLLETOS</t>
  </si>
  <si>
    <t>postura</t>
  </si>
  <si>
    <t>impresión blanco y negro</t>
  </si>
  <si>
    <t>Papel Obra 90g</t>
  </si>
  <si>
    <t>Papel ilustración 90g OBRA</t>
  </si>
  <si>
    <t>Impresión ByN</t>
  </si>
  <si>
    <t>Imanes</t>
  </si>
  <si>
    <t>Papel ilustracion 300g</t>
  </si>
  <si>
    <t>costo de bajada</t>
  </si>
  <si>
    <t>COSTO BAJADA LACA</t>
  </si>
  <si>
    <t>PRECIO DE VENTA SIN LACA</t>
  </si>
  <si>
    <t>PRECIO DE VENTA CON LACA</t>
  </si>
  <si>
    <t>10x7</t>
  </si>
  <si>
    <t>imanes</t>
  </si>
  <si>
    <t>STICKERS</t>
  </si>
  <si>
    <t>Stickers</t>
  </si>
  <si>
    <t>Papel autoahdesivo</t>
  </si>
  <si>
    <t>CANTIDAD DE BAJADAS</t>
  </si>
  <si>
    <t>COSTO DE BAJADA DE LACA</t>
  </si>
  <si>
    <t>Corte</t>
  </si>
  <si>
    <t>POSTURA</t>
  </si>
  <si>
    <t>CARPETA</t>
  </si>
  <si>
    <t>Solapa blanca pegada</t>
  </si>
  <si>
    <t>Tamaño A4</t>
  </si>
  <si>
    <t>trazado</t>
  </si>
  <si>
    <t>solapa papel</t>
  </si>
  <si>
    <t>Laca UV frente</t>
  </si>
  <si>
    <t>Laminado brillo frente</t>
  </si>
  <si>
    <t>Laminado mate frente</t>
  </si>
  <si>
    <t>Carpeta</t>
  </si>
  <si>
    <t>Solapa impresa</t>
  </si>
  <si>
    <t>sin laminar</t>
  </si>
  <si>
    <t>un fleje</t>
  </si>
  <si>
    <t>Fixture</t>
  </si>
  <si>
    <t>Papel ilustración brillo 150g</t>
  </si>
  <si>
    <t>Impresión 4/4</t>
  </si>
  <si>
    <t>Desplegado</t>
  </si>
  <si>
    <t>Impresión</t>
  </si>
  <si>
    <t>+ Díptico</t>
  </si>
  <si>
    <t>10x20</t>
  </si>
  <si>
    <t>+ Tríptico</t>
  </si>
  <si>
    <t>10x30</t>
  </si>
  <si>
    <t>20x15</t>
  </si>
  <si>
    <t xml:space="preserve">digital </t>
  </si>
  <si>
    <t>Hacé el pedido como Digital - Folleto</t>
  </si>
  <si>
    <t>Papel obra 90g</t>
  </si>
  <si>
    <t>precio por unidad</t>
  </si>
  <si>
    <t>Impresión 4/0</t>
  </si>
  <si>
    <t xml:space="preserve">Hacé el pedido como Folletos express y te cobramos el precio común </t>
  </si>
  <si>
    <t>Cantidad mínima 100u</t>
  </si>
  <si>
    <t>individuales</t>
  </si>
  <si>
    <t>Kraft marrón</t>
  </si>
  <si>
    <t xml:space="preserve">Obra </t>
  </si>
  <si>
    <t>kraft marrón</t>
  </si>
  <si>
    <t>30x42 cm</t>
  </si>
  <si>
    <t>Tamaño A3</t>
  </si>
  <si>
    <t>Puntas rectas</t>
  </si>
  <si>
    <t>area de impresión  29x41</t>
  </si>
  <si>
    <t>Tiempo de producción 48hs</t>
  </si>
  <si>
    <t>Calendario CD</t>
  </si>
  <si>
    <t>caja de tarjetas blanca</t>
  </si>
  <si>
    <t xml:space="preserve">Sin impresión </t>
  </si>
  <si>
    <t>Impresión digital 4/4</t>
  </si>
  <si>
    <t>Material cartón blanco</t>
  </si>
  <si>
    <t>Ilustración 300g</t>
  </si>
  <si>
    <t>Caja chica</t>
  </si>
  <si>
    <t>Caja grande</t>
  </si>
  <si>
    <t>caja cubo</t>
  </si>
  <si>
    <t>Tamaño de cada ficha: 11,5x13,5 cm</t>
  </si>
  <si>
    <t>101 a 200</t>
  </si>
  <si>
    <t>Caja CD cristal</t>
  </si>
  <si>
    <t>201 a 300</t>
  </si>
  <si>
    <t>Precio por unidad</t>
  </si>
  <si>
    <t>x 8 fichas</t>
  </si>
  <si>
    <t>x 16 fichas</t>
  </si>
  <si>
    <t>Entran</t>
  </si>
  <si>
    <t>100 tarjetas</t>
  </si>
  <si>
    <t>1000 tarjetas</t>
  </si>
  <si>
    <t>500 tarjetas</t>
  </si>
  <si>
    <t>11 a 25</t>
  </si>
  <si>
    <t>calendario carpita</t>
  </si>
  <si>
    <t>Tamaño  de cada ficha 14,5x10</t>
  </si>
  <si>
    <t>Tamaño  de cada ficha 14x20</t>
  </si>
  <si>
    <t>Cantidad de fichas 14</t>
  </si>
  <si>
    <t>Tamaño base 11,5x14,5 - desplegada 31,5x14,5</t>
  </si>
  <si>
    <t xml:space="preserve">Base cartulina triplex sin impresión </t>
  </si>
  <si>
    <t>Anillado ring wire metálico blanco</t>
  </si>
  <si>
    <t>8 pliegos</t>
  </si>
  <si>
    <t>14 pliegos</t>
  </si>
  <si>
    <t>2-10</t>
  </si>
  <si>
    <t>11-25</t>
  </si>
  <si>
    <t>26-50</t>
  </si>
  <si>
    <t>REGLA</t>
  </si>
  <si>
    <t>papel ilustración 300g</t>
  </si>
  <si>
    <t>impresión 4/4</t>
  </si>
  <si>
    <t>Laca frente</t>
  </si>
  <si>
    <t>Brillo frente</t>
  </si>
  <si>
    <t>Mate F/D</t>
  </si>
  <si>
    <t>Soft touch</t>
  </si>
  <si>
    <t>REGLA 20CM</t>
  </si>
  <si>
    <t>bajadas</t>
  </si>
  <si>
    <t>PRECIO DE VENTA tarjetas navideñas</t>
  </si>
  <si>
    <t>LACA</t>
  </si>
  <si>
    <t>BRILLO</t>
  </si>
  <si>
    <t>MATE</t>
  </si>
  <si>
    <t>SOFT</t>
  </si>
  <si>
    <t>TRAZADO</t>
  </si>
  <si>
    <t>chica</t>
  </si>
  <si>
    <t>Brillo o SL</t>
  </si>
  <si>
    <t>brillo o SL</t>
  </si>
  <si>
    <t>IMPRESIÓN</t>
  </si>
  <si>
    <t xml:space="preserve">Posturas </t>
  </si>
  <si>
    <t>costo del pliego</t>
  </si>
  <si>
    <t>tot lamina</t>
  </si>
  <si>
    <t>laminado</t>
  </si>
  <si>
    <t>11x28</t>
  </si>
  <si>
    <t>O</t>
  </si>
  <si>
    <t>por hoja</t>
  </si>
  <si>
    <t>Ilustración 350g</t>
  </si>
  <si>
    <t>grande</t>
  </si>
  <si>
    <t>Carpita chica</t>
  </si>
  <si>
    <t>Mate</t>
  </si>
  <si>
    <t>Sectorizado</t>
  </si>
  <si>
    <t>16x37</t>
  </si>
  <si>
    <t>LARGA</t>
  </si>
  <si>
    <t>20x23</t>
  </si>
  <si>
    <t>lapicero</t>
  </si>
  <si>
    <t>15x26</t>
  </si>
  <si>
    <t>horizontal</t>
  </si>
  <si>
    <t>21x15</t>
  </si>
  <si>
    <t>piramide</t>
  </si>
  <si>
    <t>9x6</t>
  </si>
  <si>
    <t>Regla x 20 cm</t>
  </si>
  <si>
    <t>5x20</t>
  </si>
  <si>
    <t>Regla x 30 cm</t>
  </si>
  <si>
    <t>5 x 20</t>
  </si>
  <si>
    <t>5 x 30</t>
  </si>
  <si>
    <t>Calendario bolsillo</t>
  </si>
  <si>
    <t>6,5 x 9,5</t>
  </si>
  <si>
    <t>Espirales de PVC</t>
  </si>
  <si>
    <t>Paso: 6mm</t>
  </si>
  <si>
    <t>Esperales de PVC</t>
  </si>
  <si>
    <t>Diámetro</t>
  </si>
  <si>
    <t>Capacidad, hojas de 90g</t>
  </si>
  <si>
    <t>Capacidad, hojas de 150g</t>
  </si>
  <si>
    <t>Capacidad, hojas de 300g</t>
  </si>
  <si>
    <t>CANT X PAQUETE</t>
  </si>
  <si>
    <t>precio unid</t>
  </si>
  <si>
    <t>coef</t>
  </si>
  <si>
    <t>coeficiente ganancia x cantidad</t>
  </si>
  <si>
    <t>RING WIRE</t>
  </si>
  <si>
    <t>PASO 2:1</t>
  </si>
  <si>
    <t xml:space="preserve">Encuadernación doble alambre </t>
  </si>
  <si>
    <t>Ø en MM</t>
  </si>
  <si>
    <t>Capacidad Hoja 90g</t>
  </si>
  <si>
    <t>cantidad por caja</t>
  </si>
  <si>
    <t>$ por tira tño oficio (26 anillos)</t>
  </si>
  <si>
    <t>Precio + IVA</t>
  </si>
  <si>
    <t>cantidad de anillos por bobina</t>
  </si>
  <si>
    <t>$ x Bobina</t>
  </si>
  <si>
    <t>$ x Bobina + IVA</t>
  </si>
  <si>
    <t>Precio x unidad</t>
  </si>
  <si>
    <t>tiempo de mano de obra</t>
  </si>
  <si>
    <t>2 min x unidad</t>
  </si>
  <si>
    <t>Los precios son +IVA</t>
  </si>
  <si>
    <t>Colores</t>
  </si>
  <si>
    <t xml:space="preserve">blanco </t>
  </si>
  <si>
    <t>rojo</t>
  </si>
  <si>
    <t xml:space="preserve">cristal </t>
  </si>
  <si>
    <t>bronce</t>
  </si>
  <si>
    <t>azul</t>
  </si>
  <si>
    <t>Adicional</t>
  </si>
  <si>
    <t>Tapas para encuadernación</t>
  </si>
  <si>
    <t>ADICIONAL</t>
  </si>
  <si>
    <t>Precio tapa cristal contratapa negro x libro</t>
  </si>
  <si>
    <t xml:space="preserve">Material </t>
  </si>
  <si>
    <t>Polipropileno rayado 380 mic</t>
  </si>
  <si>
    <t>Medida normalizada</t>
  </si>
  <si>
    <t>costo de compra</t>
  </si>
  <si>
    <t>Color</t>
  </si>
  <si>
    <t>Traslúcido y Negro</t>
  </si>
  <si>
    <t>A4: 21,5 x 29,7 mm</t>
  </si>
  <si>
    <t>Oficio: 22,5 x 34 mm</t>
  </si>
  <si>
    <t>binder</t>
  </si>
  <si>
    <t>trazado x500</t>
  </si>
  <si>
    <t>1 hora</t>
  </si>
  <si>
    <t xml:space="preserve">acaballado </t>
  </si>
  <si>
    <t>en maquina tamaño minimo cerrada 20x21</t>
  </si>
  <si>
    <t xml:space="preserve">IMAN   </t>
  </si>
  <si>
    <t>x100</t>
  </si>
  <si>
    <t>X 250</t>
  </si>
  <si>
    <t>X 500</t>
  </si>
  <si>
    <t>X 100</t>
  </si>
  <si>
    <t>x 250</t>
  </si>
  <si>
    <t>x500</t>
  </si>
  <si>
    <t>tamaño</t>
  </si>
  <si>
    <t>PRECIO</t>
  </si>
  <si>
    <t>Costo CM2</t>
  </si>
  <si>
    <t>TROQUELADO</t>
  </si>
  <si>
    <t>diametro</t>
  </si>
  <si>
    <t>x250</t>
  </si>
  <si>
    <t xml:space="preserve">cm x </t>
  </si>
  <si>
    <t>X250</t>
  </si>
  <si>
    <t>costo mano US</t>
  </si>
  <si>
    <t>valor dólar</t>
  </si>
  <si>
    <t>papel</t>
  </si>
  <si>
    <t>bobinas</t>
  </si>
  <si>
    <t>laca</t>
  </si>
  <si>
    <t>puesta laca</t>
  </si>
  <si>
    <t>gastos ocultos</t>
  </si>
  <si>
    <t>ganancia</t>
  </si>
  <si>
    <t>1500+600/1000</t>
  </si>
  <si>
    <t>producto</t>
  </si>
  <si>
    <t>block</t>
  </si>
  <si>
    <t>base</t>
  </si>
  <si>
    <t>carton sin imprimir</t>
  </si>
  <si>
    <t>interior cant</t>
  </si>
  <si>
    <t xml:space="preserve">papel </t>
  </si>
  <si>
    <t>obra 80g</t>
  </si>
  <si>
    <t xml:space="preserve">impresión </t>
  </si>
  <si>
    <t>color</t>
  </si>
  <si>
    <t>blocks</t>
  </si>
  <si>
    <t>A5 - 15x21</t>
  </si>
  <si>
    <t>Producto</t>
  </si>
  <si>
    <t>Tamaño</t>
  </si>
  <si>
    <t>Base</t>
  </si>
  <si>
    <t>Interior cantidad</t>
  </si>
  <si>
    <t xml:space="preserve">Impresión </t>
  </si>
  <si>
    <t>Precio unitario</t>
  </si>
  <si>
    <t>Los precios no incluyen IVA</t>
  </si>
  <si>
    <t>El precio no incluye tapa</t>
  </si>
  <si>
    <t>Adicional por tapa papel ilustración 150g: $12 cada unidad</t>
  </si>
  <si>
    <t>Papel ilustración 350 / triplex</t>
  </si>
  <si>
    <t>300 gramos</t>
  </si>
  <si>
    <t xml:space="preserve">PRECIO DE VENTA TARJETAS       </t>
  </si>
  <si>
    <t>Papel ilustración 350</t>
  </si>
  <si>
    <t>Papel ilustración 300</t>
  </si>
  <si>
    <t>POSTAL</t>
  </si>
  <si>
    <t>Con precorte reforsado cada 5 cm</t>
  </si>
  <si>
    <t>OFICINA</t>
  </si>
  <si>
    <t>Sobre Bolsa</t>
  </si>
  <si>
    <t>precio 4/0</t>
  </si>
  <si>
    <t>precio 1/0</t>
  </si>
  <si>
    <t>Código</t>
  </si>
  <si>
    <t xml:space="preserve">Obra primera </t>
  </si>
  <si>
    <t>Impresión 1 lado 4/0</t>
  </si>
  <si>
    <t>80g</t>
  </si>
  <si>
    <t>A3 1/0</t>
  </si>
  <si>
    <t>A3 4/0</t>
  </si>
  <si>
    <t>Obra 90g</t>
  </si>
  <si>
    <t>kraft marrón 80g</t>
  </si>
  <si>
    <t>Pliego 30x43</t>
  </si>
  <si>
    <t>Area de impresión  29x41</t>
  </si>
  <si>
    <t>Tamaño 30x43</t>
  </si>
  <si>
    <t>Tiempo de producción 48/ 72hs</t>
  </si>
  <si>
    <t>Gramajes</t>
  </si>
  <si>
    <t>BOBINA</t>
  </si>
  <si>
    <t>DÓLAR</t>
  </si>
  <si>
    <t>MATERIAL</t>
  </si>
  <si>
    <t>ALTO</t>
  </si>
  <si>
    <t>ANCHO</t>
  </si>
  <si>
    <t>GRAMOS</t>
  </si>
  <si>
    <t>PESO resma</t>
  </si>
  <si>
    <t>PESO HOJA</t>
  </si>
  <si>
    <t>pliegos x KG</t>
  </si>
  <si>
    <t>U$s x KILO</t>
  </si>
  <si>
    <t>$ HOJA</t>
  </si>
  <si>
    <t xml:space="preserve">Resma </t>
  </si>
  <si>
    <t>$ x HOJA + IVA</t>
  </si>
  <si>
    <t>PRODUCTO</t>
  </si>
  <si>
    <t>ILUSTRACION</t>
  </si>
  <si>
    <t>72/78/56</t>
  </si>
  <si>
    <t>270/290</t>
  </si>
  <si>
    <t xml:space="preserve">55/60/66/77/83/84/97 </t>
  </si>
  <si>
    <t>HOJAS</t>
  </si>
  <si>
    <t>Duplex Papelera del sur</t>
  </si>
  <si>
    <t>250/270/300/350</t>
  </si>
  <si>
    <t>70x100 76x112 82x102</t>
  </si>
  <si>
    <t>U$S 1,35+ iva</t>
  </si>
  <si>
    <t>craf</t>
  </si>
  <si>
    <t>90/110/125/200/240/280/400</t>
  </si>
  <si>
    <t>U$S 1,45 + iva (promoción)</t>
  </si>
  <si>
    <t>Cartulina DX y TX “segunda”</t>
  </si>
  <si>
    <t>U$S 1,15 + iva (promoción)</t>
  </si>
  <si>
    <t>Carton Blanco Papelera del Sur</t>
  </si>
  <si>
    <t>U$S 1,41 + iva</t>
  </si>
  <si>
    <t>Cartulina Vitamax Papirus</t>
  </si>
  <si>
    <t>U$S 1,51 + iva</t>
  </si>
  <si>
    <t>Cartulina Vitaliner Papirus</t>
  </si>
  <si>
    <t>Cartulina Vitacarta papirus</t>
  </si>
  <si>
    <t>U$S 1,60+ iva</t>
  </si>
  <si>
    <t>Cartulina Vitasolid Papirus</t>
  </si>
  <si>
    <t>U$S 1,70 + iva</t>
  </si>
  <si>
    <t>Cartulina NINGBO RIGIDA</t>
  </si>
  <si>
    <t>U$S 1,80 + iva</t>
  </si>
  <si>
    <t>Cartulina DX FONDO KRAFT (STOCK LOT)</t>
  </si>
  <si>
    <t>U$S 1,42+ iva (promoción)</t>
  </si>
  <si>
    <t xml:space="preserve">PEDIDO HECHO </t>
  </si>
  <si>
    <t xml:space="preserve">TIPO </t>
  </si>
  <si>
    <t>GRAMAJE</t>
  </si>
  <si>
    <t xml:space="preserve">FORMATO </t>
  </si>
  <si>
    <t xml:space="preserve">PEDIDO </t>
  </si>
  <si>
    <t xml:space="preserve">TOTAL </t>
  </si>
  <si>
    <t>ART PAPER</t>
  </si>
  <si>
    <t>GLOSS</t>
  </si>
  <si>
    <t>72 - 102</t>
  </si>
  <si>
    <t xml:space="preserve">72 - 102 </t>
  </si>
  <si>
    <t xml:space="preserve">ART BOARD </t>
  </si>
  <si>
    <t>TEMA TARASCA…</t>
  </si>
  <si>
    <t>TOTAL</t>
  </si>
  <si>
    <t>Pagado</t>
  </si>
  <si>
    <t xml:space="preserve">Resta Pagar </t>
  </si>
  <si>
    <t>AL INICIO</t>
  </si>
  <si>
    <t>Pagado al efectual el pedido</t>
  </si>
  <si>
    <t>ARRIBO</t>
  </si>
  <si>
    <t>Pagado 12-06 en efectivo</t>
  </si>
  <si>
    <t xml:space="preserve">pagado 17-08 transferencia </t>
  </si>
  <si>
    <t>ENTREGA</t>
  </si>
  <si>
    <t>SOBRANTE</t>
  </si>
  <si>
    <t xml:space="preserve"> </t>
  </si>
  <si>
    <t xml:space="preserve">MATERIAL VINIENDO </t>
  </si>
  <si>
    <t>VINIENDO</t>
  </si>
  <si>
    <t>iva</t>
  </si>
  <si>
    <t>compra</t>
  </si>
  <si>
    <t>venta</t>
  </si>
  <si>
    <t>diferencia a 7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</si>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</sst>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_ &quot;$&quot;\ * #,##0.00_ ;_ &quot;$&quot;\ * \-#,##0.00_ ;_ &quot;$&quot;\ * &quot;-&quot;??_ ;_ @_ "/>
    <numFmt numFmtId="165" formatCode="0.0000"/>
    <numFmt numFmtId="166" formatCode="_-&quot;$&quot;\ * #,##0_-;\-&quot;$&quot;\ * #,##0_-;_-&quot;$&quot;\ * &quot;-&quot;??_-;_-@"/>
    <numFmt numFmtId="167" formatCode="_ &quot;$&quot;\ * #,##0_ ;_ &quot;$&quot;\ * \-#,##0_ ;_ &quot;$&quot;\ * &quot;-&quot;??_ ;_ @_ "/>
    <numFmt numFmtId="168" formatCode="_-&quot;$&quot;\ * #,##0.00_-;\-&quot;$&quot;\ * #,##0.00_-;_-&quot;$&quot;\ * &quot;-&quot;??_-;_-@"/>
    <numFmt numFmtId="169" formatCode="#,##0.0_ ;\-#,##0.0\ "/>
    <numFmt numFmtId="170" formatCode="0.00000"/>
    <numFmt numFmtId="171" formatCode="0.0"/>
    <numFmt numFmtId="172" formatCode="0.000"/>
    <numFmt numFmtId="173" formatCode="#,##0_ ;\-#,##0\ "/>
    <numFmt numFmtId="174" formatCode="_ &quot;$&quot;\ * #,##0.000_ ;_ &quot;$&quot;\ * \-#,##0.000_ ;_ &quot;$&quot;\ * &quot;-&quot;??_ ;_ @_ "/>
    <numFmt numFmtId="175" formatCode="_ &quot;$&quot;\ * #,##0.0000_ ;_ &quot;$&quot;\ * \-#,##0.0000_ ;_ &quot;$&quot;\ * &quot;-&quot;??_ ;_ @_ "/>
    <numFmt numFmtId="176" formatCode="#,##0.00_ ;\-#,##0.00\ "/>
    <numFmt numFmtId="177" formatCode="0.000000"/>
    <numFmt numFmtId="178" formatCode="_ &quot;$&quot;\ * #,##0.0_ ;_ &quot;$&quot;\ * \-#,##0.0_ ;_ &quot;$&quot;\ * &quot;-&quot;??_ ;_ @_ "/>
    <numFmt numFmtId="179" formatCode="&quot;$&quot;\ \ 0"/>
    <numFmt numFmtId="180" formatCode="&quot;$&quot;\ #,##0"/>
    <numFmt numFmtId="181" formatCode="_ * #,##0_ ;_ * \-#,##0_ ;_ * &quot;-&quot;??_ ;_ @_ "/>
    <numFmt numFmtId="182" formatCode="&quot;$&quot;\ #,##0;[Red]\-&quot;$&quot;\ #,##0"/>
    <numFmt numFmtId="183" formatCode="_-[$USD]\ * #,##0.00_-;\-[$USD]\ * #,##0.00_-;_-[$USD]\ * &quot;-&quot;??_-;_-@"/>
  </numFmts>
  <fonts count="5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b/>
      <sz val="11.0"/>
      <color theme="0"/>
      <name val="Calibri"/>
    </font>
    <font>
      <sz val="11.0"/>
      <color rgb="FFFF0000"/>
      <name val="Calibri"/>
    </font>
    <font>
      <sz val="11.0"/>
      <color rgb="FF993300"/>
      <name val="Calibri"/>
    </font>
    <font>
      <sz val="11.0"/>
      <color rgb="FF006100"/>
      <name val="Calibri"/>
    </font>
    <font>
      <sz val="11.0"/>
      <color rgb="FF9C0006"/>
      <name val="Calibri"/>
    </font>
    <font>
      <sz val="11.0"/>
      <color rgb="FF3F3F76"/>
      <name val="Calibri"/>
    </font>
    <font>
      <sz val="11.0"/>
      <color theme="0"/>
      <name val="Calibri"/>
    </font>
    <font>
      <sz val="11.0"/>
      <color rgb="FF3F3F3F"/>
      <name val="Calibri"/>
    </font>
    <font>
      <sz val="10.0"/>
      <color theme="1"/>
      <name val="Calibri"/>
    </font>
    <font>
      <color theme="1"/>
      <name val="Calibri"/>
      <scheme val="minor"/>
    </font>
    <font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8.0"/>
      <color rgb="FF3F3F3F"/>
      <name val="Calibri"/>
    </font>
    <font>
      <b/>
      <sz val="11.0"/>
      <color rgb="FF3F3F3F"/>
      <name val="Calibri"/>
    </font>
    <font>
      <sz val="18.0"/>
      <color rgb="FF3F3F3F"/>
      <name val="Calibri"/>
    </font>
    <font>
      <sz val="16.0"/>
      <color rgb="FF3F3F3F"/>
      <name val="Calibri"/>
    </font>
    <font>
      <sz val="14.0"/>
      <color rgb="FF006100"/>
      <name val="Calibri"/>
    </font>
    <font>
      <sz val="16.0"/>
      <color theme="1"/>
      <name val="Calibri"/>
    </font>
    <font>
      <sz val="16.0"/>
      <color rgb="FF9C0006"/>
      <name val="Calibri"/>
    </font>
    <font>
      <sz val="12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9.0"/>
      <color theme="1"/>
      <name val="Calibri"/>
    </font>
    <font>
      <sz val="15.0"/>
      <color theme="1"/>
      <name val="Calibri"/>
    </font>
    <font>
      <u/>
      <sz val="11.0"/>
      <color theme="1"/>
      <name val="Calibri"/>
    </font>
    <font>
      <sz val="8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9C6500"/>
      <name val="Calibri"/>
    </font>
    <font>
      <sz val="14.0"/>
      <color theme="0"/>
      <name val="Calibri"/>
    </font>
    <font>
      <u/>
      <sz val="11.0"/>
      <color theme="1"/>
      <name val="Calibri"/>
    </font>
    <font>
      <u/>
      <sz val="11.0"/>
      <color rgb="FFFF0000"/>
      <name val="Calibri"/>
    </font>
    <font>
      <sz val="9.0"/>
      <color rgb="FF333333"/>
      <name val="Arial"/>
    </font>
    <font>
      <u/>
      <sz val="11.0"/>
      <color rgb="FFFF0000"/>
      <name val="Calibri"/>
    </font>
    <font>
      <sz val="12.0"/>
      <color rgb="FFFFFFFF"/>
      <name val="Calibri"/>
    </font>
    <font>
      <sz val="12.0"/>
      <color rgb="FF3F3F76"/>
      <name val="Calibri"/>
    </font>
    <font>
      <u/>
      <sz val="11.0"/>
      <color theme="1"/>
      <name val="Calibri"/>
    </font>
    <font>
      <b/>
      <sz val="9.0"/>
      <color rgb="FF0091DA"/>
      <name val="Arial"/>
    </font>
    <font>
      <sz val="11.0"/>
      <color rgb="FF000000"/>
      <name val="Calibri"/>
    </font>
    <font>
      <sz val="11.0"/>
      <color rgb="FFFF6600"/>
      <name val="Calibri"/>
    </font>
    <font>
      <b/>
      <sz val="12.0"/>
      <color theme="1"/>
      <name val="Calibri"/>
    </font>
    <font>
      <b/>
      <sz val="11.0"/>
      <color rgb="FFFA7D00"/>
      <name val="Calibri"/>
    </font>
    <font>
      <sz val="11.0"/>
      <color rgb="FF0C0C0C"/>
      <name val="Calibri"/>
    </font>
    <font>
      <b/>
      <sz val="10.0"/>
      <color rgb="FFFFFFEC"/>
      <name val="Arial"/>
    </font>
    <font>
      <sz val="11.0"/>
      <color rgb="FFFFFFEC"/>
      <name val="Calibri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1.0"/>
      <color theme="1"/>
      <name val="Calibri"/>
    </font>
    <font>
      <b/>
      <sz val="11.0"/>
      <color rgb="FFFF0000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99FFCC"/>
        <bgColor rgb="FF99FFCC"/>
      </patternFill>
    </fill>
    <fill>
      <patternFill patternType="solid">
        <fgColor rgb="FFDDD9C3"/>
        <bgColor rgb="FFDDD9C3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C99"/>
        <bgColor rgb="FFFFCC99"/>
      </patternFill>
    </fill>
    <fill>
      <patternFill patternType="solid">
        <fgColor rgb="FFB6DDE8"/>
        <bgColor rgb="FFB6DDE8"/>
      </patternFill>
    </fill>
    <fill>
      <patternFill patternType="solid">
        <fgColor rgb="FFD99594"/>
        <bgColor rgb="FFD99594"/>
      </patternFill>
    </fill>
    <fill>
      <patternFill patternType="solid">
        <fgColor theme="8"/>
        <bgColor theme="8"/>
      </patternFill>
    </fill>
    <fill>
      <patternFill patternType="solid">
        <fgColor rgb="FFFDE9D9"/>
        <bgColor rgb="FFFDE9D9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FC000"/>
        <bgColor rgb="FFFFC000"/>
      </patternFill>
    </fill>
    <fill>
      <patternFill patternType="solid">
        <fgColor rgb="FFCCC0D9"/>
        <bgColor rgb="FFCCC0D9"/>
      </patternFill>
    </fill>
    <fill>
      <patternFill patternType="solid">
        <fgColor theme="9"/>
        <bgColor theme="9"/>
      </patternFill>
    </fill>
    <fill>
      <patternFill patternType="solid">
        <fgColor rgb="FFFF3399"/>
        <bgColor rgb="FFFF3399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E5DFEC"/>
        <bgColor rgb="FFE5DFEC"/>
      </patternFill>
    </fill>
    <fill>
      <patternFill patternType="solid">
        <fgColor rgb="FFBFBFBF"/>
        <bgColor rgb="FFBFBFBF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003366"/>
        <bgColor rgb="FF003366"/>
      </patternFill>
    </fill>
    <fill>
      <patternFill patternType="solid">
        <fgColor theme="4"/>
        <bgColor theme="4"/>
      </patternFill>
    </fill>
    <fill>
      <patternFill patternType="solid">
        <fgColor rgb="FFB2A1C7"/>
        <bgColor rgb="FFB2A1C7"/>
      </patternFill>
    </fill>
  </fills>
  <borders count="154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top style="double">
        <color rgb="FF3F3F3F"/>
      </top>
      <bottom style="double">
        <color rgb="FF3F3F3F"/>
      </bottom>
    </border>
    <border>
      <left style="thin">
        <color rgb="FF000000"/>
      </left>
      <right/>
      <bottom style="double">
        <color rgb="FF3F3F3F"/>
      </bottom>
    </border>
    <border>
      <bottom style="double">
        <color rgb="FF3F3F3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double">
        <color rgb="FF3F3F3F"/>
      </right>
      <top style="double">
        <color rgb="FF3F3F3F"/>
      </top>
      <bottom style="double">
        <color rgb="FF3F3F3F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double">
        <color rgb="FF3F3F3F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double">
        <color rgb="FF3F3F3F"/>
      </left>
      <right/>
      <top/>
      <bottom/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/>
      <bottom style="thick">
        <color theme="4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2B2B2"/>
      </left>
      <top style="thin">
        <color rgb="FFB2B2B2"/>
      </top>
      <bottom/>
    </border>
    <border>
      <right style="thin">
        <color rgb="FFB2B2B2"/>
      </right>
      <top style="thin">
        <color rgb="FFB2B2B2"/>
      </top>
      <bottom/>
    </border>
    <border>
      <left style="thin">
        <color rgb="FF3F3F3F"/>
      </left>
      <top style="thin">
        <color rgb="FF3F3F3F"/>
      </top>
      <bottom/>
    </border>
    <border>
      <right style="thin">
        <color rgb="FF3F3F3F"/>
      </right>
      <top style="thin">
        <color rgb="FF3F3F3F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3F3F3F"/>
      </bottom>
    </border>
    <border>
      <left/>
      <right style="medium">
        <color rgb="FF000000"/>
      </right>
      <top style="medium">
        <color rgb="FF000000"/>
      </top>
      <bottom style="double">
        <color rgb="FF3F3F3F"/>
      </bottom>
    </border>
    <border>
      <left style="medium">
        <color rgb="FF000000"/>
      </left>
      <right style="medium">
        <color rgb="FF000000"/>
      </right>
      <top style="double">
        <color rgb="FF3F3F3F"/>
      </top>
      <bottom style="double">
        <color rgb="FF3F3F3F"/>
      </bottom>
    </border>
    <border>
      <left/>
      <right style="medium">
        <color rgb="FF000000"/>
      </right>
      <top style="double">
        <color rgb="FF3F3F3F"/>
      </top>
      <bottom style="double">
        <color rgb="FF3F3F3F"/>
      </bottom>
    </border>
    <border>
      <left style="medium">
        <color rgb="FF000000"/>
      </left>
      <right style="medium">
        <color rgb="FF000000"/>
      </right>
      <top style="double">
        <color rgb="FF3F3F3F"/>
      </top>
      <bottom style="medium">
        <color rgb="FF000000"/>
      </bottom>
    </border>
    <border>
      <left/>
      <right style="medium">
        <color rgb="FF000000"/>
      </right>
      <top style="double">
        <color rgb="FF3F3F3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2" fontId="1" numFmtId="49" xfId="0" applyBorder="1" applyFill="1" applyFont="1" applyNumberFormat="1"/>
    <xf borderId="2" fillId="2" fontId="1" numFmtId="0" xfId="0" applyBorder="1" applyFont="1"/>
    <xf borderId="3" fillId="3" fontId="3" numFmtId="0" xfId="0" applyAlignment="1" applyBorder="1" applyFill="1" applyFont="1">
      <alignment horizontal="center"/>
    </xf>
    <xf borderId="4" fillId="3" fontId="1" numFmtId="0" xfId="0" applyAlignment="1" applyBorder="1" applyFont="1">
      <alignment horizontal="center"/>
    </xf>
    <xf borderId="5" fillId="0" fontId="2" numFmtId="0" xfId="0" applyBorder="1" applyFont="1"/>
    <xf borderId="6" fillId="3" fontId="1" numFmtId="0" xfId="0" applyAlignment="1" applyBorder="1" applyFont="1">
      <alignment horizontal="center"/>
    </xf>
    <xf borderId="7" fillId="4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0" fillId="0" fontId="1" numFmtId="0" xfId="0" applyAlignment="1" applyFont="1">
      <alignment horizontal="right"/>
    </xf>
    <xf borderId="10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12" fillId="3" fontId="1" numFmtId="49" xfId="0" applyAlignment="1" applyBorder="1" applyFont="1" applyNumberFormat="1">
      <alignment horizontal="center"/>
    </xf>
    <xf borderId="13" fillId="3" fontId="1" numFmtId="0" xfId="0" applyAlignment="1" applyBorder="1" applyFont="1">
      <alignment horizontal="center"/>
    </xf>
    <xf borderId="14" fillId="5" fontId="4" numFmtId="0" xfId="0" applyAlignment="1" applyBorder="1" applyFill="1" applyFont="1">
      <alignment horizontal="center"/>
    </xf>
    <xf borderId="15" fillId="5" fontId="4" numFmtId="0" xfId="0" applyAlignment="1" applyBorder="1" applyFont="1">
      <alignment horizontal="center"/>
    </xf>
    <xf borderId="0" fillId="0" fontId="1" numFmtId="2" xfId="0" applyFont="1" applyNumberFormat="1"/>
    <xf borderId="16" fillId="0" fontId="1" numFmtId="0" xfId="0" applyAlignment="1" applyBorder="1" applyFont="1">
      <alignment horizontal="center"/>
    </xf>
    <xf borderId="17" fillId="0" fontId="1" numFmtId="164" xfId="0" applyBorder="1" applyFont="1" applyNumberFormat="1"/>
    <xf borderId="18" fillId="0" fontId="1" numFmtId="164" xfId="0" applyBorder="1" applyFont="1" applyNumberFormat="1"/>
    <xf borderId="19" fillId="0" fontId="1" numFmtId="164" xfId="0" applyBorder="1" applyFont="1" applyNumberFormat="1"/>
    <xf borderId="20" fillId="5" fontId="4" numFmtId="0" xfId="0" applyAlignment="1" applyBorder="1" applyFont="1">
      <alignment horizontal="center"/>
    </xf>
    <xf borderId="21" fillId="4" fontId="1" numFmtId="164" xfId="0" applyBorder="1" applyFont="1" applyNumberFormat="1"/>
    <xf borderId="2" fillId="5" fontId="4" numFmtId="0" xfId="0" applyAlignment="1" applyBorder="1" applyFont="1">
      <alignment horizontal="center"/>
    </xf>
    <xf borderId="14" fillId="5" fontId="4" numFmtId="0" xfId="0" applyBorder="1" applyFont="1"/>
    <xf borderId="21" fillId="0" fontId="1" numFmtId="2" xfId="0" applyBorder="1" applyFont="1" applyNumberFormat="1"/>
    <xf borderId="0" fillId="0" fontId="5" numFmtId="0" xfId="0" applyFont="1"/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22" fillId="6" fontId="1" numFmtId="0" xfId="0" applyAlignment="1" applyBorder="1" applyFill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1" fillId="0" fontId="1" numFmtId="0" xfId="0" applyBorder="1" applyFont="1"/>
    <xf borderId="17" fillId="0" fontId="1" numFmtId="0" xfId="0" applyAlignment="1" applyBorder="1" applyFont="1">
      <alignment horizontal="center" vertical="center"/>
    </xf>
    <xf borderId="25" fillId="0" fontId="1" numFmtId="164" xfId="0" applyBorder="1" applyFont="1" applyNumberFormat="1"/>
    <xf borderId="11" fillId="0" fontId="1" numFmtId="0" xfId="0" applyAlignment="1" applyBorder="1" applyFont="1">
      <alignment horizontal="center" vertical="center"/>
    </xf>
    <xf borderId="0" fillId="0" fontId="1" numFmtId="49" xfId="0" applyFont="1" applyNumberFormat="1"/>
    <xf borderId="26" fillId="0" fontId="3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27" fillId="0" fontId="3" numFmtId="49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16" fillId="0" fontId="1" numFmtId="17" xfId="0" applyAlignment="1" applyBorder="1" applyFont="1" applyNumberFormat="1">
      <alignment horizontal="center"/>
    </xf>
    <xf borderId="29" fillId="4" fontId="1" numFmtId="2" xfId="0" applyBorder="1" applyFont="1" applyNumberFormat="1"/>
    <xf borderId="30" fillId="4" fontId="1" numFmtId="2" xfId="0" applyAlignment="1" applyBorder="1" applyFont="1" applyNumberFormat="1">
      <alignment horizontal="right"/>
    </xf>
    <xf borderId="31" fillId="4" fontId="1" numFmtId="2" xfId="0" applyBorder="1" applyFont="1" applyNumberFormat="1"/>
    <xf borderId="21" fillId="0" fontId="1" numFmtId="2" xfId="0" applyAlignment="1" applyBorder="1" applyFont="1" applyNumberFormat="1">
      <alignment horizontal="center"/>
    </xf>
    <xf borderId="3" fillId="4" fontId="1" numFmtId="0" xfId="0" applyBorder="1" applyFont="1"/>
    <xf borderId="32" fillId="0" fontId="1" numFmtId="0" xfId="0" applyBorder="1" applyFont="1"/>
    <xf borderId="11" fillId="4" fontId="1" numFmtId="0" xfId="0" applyBorder="1" applyFont="1"/>
    <xf borderId="12" fillId="0" fontId="1" numFmtId="0" xfId="0" applyBorder="1" applyFont="1"/>
    <xf borderId="32" fillId="0" fontId="1" numFmtId="164" xfId="0" applyBorder="1" applyFont="1" applyNumberFormat="1"/>
    <xf borderId="27" fillId="2" fontId="3" numFmtId="0" xfId="0" applyAlignment="1" applyBorder="1" applyFont="1">
      <alignment horizontal="center"/>
    </xf>
    <xf borderId="33" fillId="0" fontId="3" numFmtId="0" xfId="0" applyAlignment="1" applyBorder="1" applyFont="1">
      <alignment horizontal="center"/>
    </xf>
    <xf borderId="30" fillId="4" fontId="1" numFmtId="2" xfId="0" applyBorder="1" applyFont="1" applyNumberFormat="1"/>
    <xf borderId="34" fillId="4" fontId="1" numFmtId="2" xfId="0" applyBorder="1" applyFont="1" applyNumberFormat="1"/>
    <xf borderId="2" fillId="7" fontId="6" numFmtId="0" xfId="0" applyBorder="1" applyFill="1" applyFont="1"/>
    <xf borderId="21" fillId="8" fontId="7" numFmtId="0" xfId="0" applyBorder="1" applyFill="1" applyFont="1"/>
    <xf borderId="35" fillId="9" fontId="8" numFmtId="0" xfId="0" applyAlignment="1" applyBorder="1" applyFill="1" applyFont="1">
      <alignment horizontal="center" shrinkToFit="0" wrapText="1"/>
    </xf>
    <xf borderId="36" fillId="10" fontId="9" numFmtId="0" xfId="0" applyAlignment="1" applyBorder="1" applyFill="1" applyFont="1">
      <alignment horizontal="center"/>
    </xf>
    <xf borderId="37" fillId="0" fontId="2" numFmtId="0" xfId="0" applyBorder="1" applyFont="1"/>
    <xf borderId="38" fillId="5" fontId="4" numFmtId="0" xfId="0" applyAlignment="1" applyBorder="1" applyFont="1">
      <alignment horizontal="center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2" fillId="10" fontId="9" numFmtId="0" xfId="0" applyAlignment="1" applyBorder="1" applyFont="1">
      <alignment horizontal="center"/>
    </xf>
    <xf borderId="39" fillId="0" fontId="1" numFmtId="0" xfId="0" applyBorder="1" applyFont="1"/>
    <xf borderId="40" fillId="0" fontId="1" numFmtId="0" xfId="0" applyBorder="1" applyFont="1"/>
    <xf borderId="42" fillId="0" fontId="1" numFmtId="0" xfId="0" applyBorder="1" applyFont="1"/>
    <xf borderId="43" fillId="11" fontId="3" numFmtId="0" xfId="0" applyAlignment="1" applyBorder="1" applyFill="1" applyFont="1">
      <alignment horizontal="center"/>
    </xf>
    <xf borderId="44" fillId="7" fontId="3" numFmtId="0" xfId="0" applyAlignment="1" applyBorder="1" applyFont="1">
      <alignment horizontal="center" vertical="center"/>
    </xf>
    <xf borderId="45" fillId="12" fontId="3" numFmtId="0" xfId="0" applyAlignment="1" applyBorder="1" applyFill="1" applyFont="1">
      <alignment horizontal="center" vertical="center"/>
    </xf>
    <xf borderId="43" fillId="13" fontId="10" numFmtId="0" xfId="0" applyAlignment="1" applyBorder="1" applyFill="1" applyFont="1">
      <alignment horizontal="center" vertical="center"/>
    </xf>
    <xf borderId="46" fillId="5" fontId="4" numFmtId="0" xfId="0" applyAlignment="1" applyBorder="1" applyFont="1">
      <alignment horizontal="center"/>
    </xf>
    <xf borderId="14" fillId="9" fontId="8" numFmtId="0" xfId="0" applyAlignment="1" applyBorder="1" applyFont="1">
      <alignment horizontal="center"/>
    </xf>
    <xf borderId="47" fillId="11" fontId="1" numFmtId="0" xfId="0" applyAlignment="1" applyBorder="1" applyFont="1">
      <alignment horizontal="center"/>
    </xf>
    <xf borderId="48" fillId="14" fontId="1" numFmtId="1" xfId="0" applyAlignment="1" applyBorder="1" applyFill="1" applyFont="1" applyNumberFormat="1">
      <alignment horizontal="center" vertical="center"/>
    </xf>
    <xf borderId="49" fillId="15" fontId="1" numFmtId="1" xfId="0" applyAlignment="1" applyBorder="1" applyFill="1" applyFont="1" applyNumberFormat="1">
      <alignment horizontal="center" vertical="center"/>
    </xf>
    <xf borderId="47" fillId="16" fontId="1" numFmtId="1" xfId="0" applyAlignment="1" applyBorder="1" applyFill="1" applyFont="1" applyNumberFormat="1">
      <alignment horizontal="center" vertical="center"/>
    </xf>
    <xf borderId="50" fillId="0" fontId="1" numFmtId="1" xfId="0" applyAlignment="1" applyBorder="1" applyFont="1" applyNumberFormat="1">
      <alignment horizontal="center"/>
    </xf>
    <xf borderId="21" fillId="0" fontId="1" numFmtId="1" xfId="0" applyAlignment="1" applyBorder="1" applyFont="1" applyNumberFormat="1">
      <alignment horizontal="center"/>
    </xf>
    <xf borderId="0" fillId="0" fontId="1" numFmtId="165" xfId="0" applyFont="1" applyNumberFormat="1"/>
    <xf borderId="21" fillId="0" fontId="1" numFmtId="1" xfId="0" applyBorder="1" applyFont="1" applyNumberFormat="1"/>
    <xf borderId="21" fillId="9" fontId="8" numFmtId="165" xfId="0" applyBorder="1" applyFont="1" applyNumberFormat="1"/>
    <xf borderId="21" fillId="0" fontId="1" numFmtId="165" xfId="0" applyBorder="1" applyFont="1" applyNumberFormat="1"/>
    <xf borderId="19" fillId="11" fontId="1" numFmtId="49" xfId="0" applyAlignment="1" applyBorder="1" applyFont="1" applyNumberFormat="1">
      <alignment horizontal="center"/>
    </xf>
    <xf borderId="51" fillId="14" fontId="1" numFmtId="1" xfId="0" applyAlignment="1" applyBorder="1" applyFont="1" applyNumberFormat="1">
      <alignment horizontal="center" vertical="center"/>
    </xf>
    <xf borderId="52" fillId="15" fontId="1" numFmtId="1" xfId="0" applyAlignment="1" applyBorder="1" applyFont="1" applyNumberFormat="1">
      <alignment horizontal="center" vertical="center"/>
    </xf>
    <xf borderId="19" fillId="16" fontId="1" numFmtId="1" xfId="0" applyAlignment="1" applyBorder="1" applyFont="1" applyNumberFormat="1">
      <alignment horizontal="center" vertical="center"/>
    </xf>
    <xf borderId="19" fillId="11" fontId="1" numFmtId="0" xfId="0" applyAlignment="1" applyBorder="1" applyFont="1">
      <alignment horizontal="center"/>
    </xf>
    <xf borderId="13" fillId="11" fontId="1" numFmtId="0" xfId="0" applyAlignment="1" applyBorder="1" applyFont="1">
      <alignment horizontal="center"/>
    </xf>
    <xf borderId="53" fillId="14" fontId="1" numFmtId="1" xfId="0" applyAlignment="1" applyBorder="1" applyFont="1" applyNumberFormat="1">
      <alignment horizontal="center" vertical="center"/>
    </xf>
    <xf borderId="10" fillId="15" fontId="1" numFmtId="1" xfId="0" applyAlignment="1" applyBorder="1" applyFont="1" applyNumberFormat="1">
      <alignment horizontal="center" vertical="center"/>
    </xf>
    <xf borderId="54" fillId="16" fontId="1" numFmtId="1" xfId="0" applyAlignment="1" applyBorder="1" applyFont="1" applyNumberFormat="1">
      <alignment horizontal="center" vertical="center"/>
    </xf>
    <xf borderId="55" fillId="17" fontId="1" numFmtId="2" xfId="0" applyBorder="1" applyFill="1" applyFont="1" applyNumberFormat="1"/>
    <xf borderId="13" fillId="16" fontId="1" numFmtId="1" xfId="0" applyAlignment="1" applyBorder="1" applyFont="1" applyNumberFormat="1">
      <alignment horizontal="center" vertical="center"/>
    </xf>
    <xf borderId="21" fillId="5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21" fillId="5" fontId="1" numFmtId="0" xfId="0" applyBorder="1" applyFont="1"/>
    <xf borderId="21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4" xfId="0" applyFont="1" applyNumberFormat="1"/>
    <xf borderId="0" fillId="0" fontId="1" numFmtId="166" xfId="0" applyFont="1" applyNumberFormat="1"/>
    <xf borderId="2" fillId="8" fontId="7" numFmtId="0" xfId="0" applyBorder="1" applyFont="1"/>
    <xf borderId="2" fillId="9" fontId="8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21" fillId="0" fontId="1" numFmtId="0" xfId="0" applyAlignment="1" applyBorder="1" applyFont="1">
      <alignment horizontal="center" vertical="center"/>
    </xf>
    <xf borderId="56" fillId="0" fontId="1" numFmtId="0" xfId="0" applyAlignment="1" applyBorder="1" applyFont="1">
      <alignment horizontal="center" vertical="center"/>
    </xf>
    <xf borderId="21" fillId="0" fontId="1" numFmtId="167" xfId="0" applyBorder="1" applyFont="1" applyNumberFormat="1"/>
    <xf borderId="21" fillId="0" fontId="1" numFmtId="0" xfId="0" applyAlignment="1" applyBorder="1" applyFont="1">
      <alignment horizontal="center" shrinkToFit="0" vertical="center" wrapText="1"/>
    </xf>
    <xf borderId="56" fillId="0" fontId="1" numFmtId="0" xfId="0" applyAlignment="1" applyBorder="1" applyFont="1">
      <alignment horizontal="center"/>
    </xf>
    <xf borderId="2" fillId="17" fontId="1" numFmtId="0" xfId="0" applyBorder="1" applyFont="1"/>
    <xf borderId="57" fillId="17" fontId="11" numFmtId="0" xfId="0" applyAlignment="1" applyBorder="1" applyFont="1">
      <alignment horizontal="center"/>
    </xf>
    <xf borderId="57" fillId="18" fontId="11" numFmtId="0" xfId="0" applyAlignment="1" applyBorder="1" applyFill="1" applyFont="1">
      <alignment horizontal="center"/>
    </xf>
    <xf borderId="57" fillId="19" fontId="11" numFmtId="1" xfId="0" applyAlignment="1" applyBorder="1" applyFill="1" applyFont="1" applyNumberFormat="1">
      <alignment horizontal="center"/>
    </xf>
    <xf borderId="2" fillId="20" fontId="1" numFmtId="0" xfId="0" applyBorder="1" applyFill="1" applyFont="1"/>
    <xf borderId="2" fillId="12" fontId="1" numFmtId="0" xfId="0" applyBorder="1" applyFont="1"/>
    <xf borderId="2" fillId="17" fontId="1" numFmtId="0" xfId="0" applyAlignment="1" applyBorder="1" applyFont="1">
      <alignment horizontal="center"/>
    </xf>
    <xf borderId="0" fillId="0" fontId="1" numFmtId="1" xfId="0" applyFont="1" applyNumberFormat="1"/>
    <xf borderId="0" fillId="0" fontId="1" numFmtId="1" xfId="0" applyAlignment="1" applyFont="1" applyNumberFormat="1">
      <alignment horizontal="center"/>
    </xf>
    <xf borderId="0" fillId="0" fontId="1" numFmtId="168" xfId="0" applyAlignment="1" applyFont="1" applyNumberFormat="1">
      <alignment vertical="center"/>
    </xf>
    <xf borderId="2" fillId="17" fontId="12" numFmtId="0" xfId="0" applyBorder="1" applyFont="1"/>
    <xf borderId="21" fillId="21" fontId="1" numFmtId="0" xfId="0" applyAlignment="1" applyBorder="1" applyFill="1" applyFont="1">
      <alignment horizontal="center"/>
    </xf>
    <xf borderId="58" fillId="0" fontId="1" numFmtId="0" xfId="0" applyAlignment="1" applyBorder="1" applyFon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3" numFmtId="0" xfId="0" applyFont="1"/>
    <xf borderId="2" fillId="11" fontId="1" numFmtId="0" xfId="0" applyAlignment="1" applyBorder="1" applyFont="1">
      <alignment horizontal="center"/>
    </xf>
    <xf borderId="2" fillId="20" fontId="1" numFmtId="0" xfId="0" applyAlignment="1" applyBorder="1" applyFont="1">
      <alignment horizont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9" fillId="0" fontId="1" numFmtId="0" xfId="0" applyAlignment="1" applyBorder="1" applyFont="1">
      <alignment horizontal="center"/>
    </xf>
    <xf borderId="2" fillId="17" fontId="12" numFmtId="0" xfId="0" applyAlignment="1" applyBorder="1" applyFont="1">
      <alignment horizontal="left"/>
    </xf>
    <xf borderId="2" fillId="20" fontId="1" numFmtId="1" xfId="0" applyAlignment="1" applyBorder="1" applyFont="1" applyNumberFormat="1">
      <alignment horizontal="center"/>
    </xf>
    <xf borderId="2" fillId="22" fontId="1" numFmtId="0" xfId="0" applyBorder="1" applyFill="1" applyFont="1"/>
    <xf borderId="0" fillId="0" fontId="14" numFmtId="0" xfId="0" applyFont="1"/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21" fillId="17" fontId="1" numFmtId="0" xfId="0" applyAlignment="1" applyBorder="1" applyFont="1">
      <alignment horizontal="center" vertical="center"/>
    </xf>
    <xf borderId="21" fillId="17" fontId="16" numFmtId="0" xfId="0" applyAlignment="1" applyBorder="1" applyFont="1">
      <alignment horizontal="center" vertical="center"/>
    </xf>
    <xf borderId="21" fillId="18" fontId="17" numFmtId="16" xfId="0" applyAlignment="1" applyBorder="1" applyFont="1" applyNumberFormat="1">
      <alignment horizontal="center" vertical="center"/>
    </xf>
    <xf borderId="21" fillId="0" fontId="14" numFmtId="1" xfId="0" applyAlignment="1" applyBorder="1" applyFont="1" applyNumberFormat="1">
      <alignment horizontal="center" vertical="center"/>
    </xf>
    <xf borderId="57" fillId="17" fontId="18" numFmtId="0" xfId="0" applyAlignment="1" applyBorder="1" applyFont="1">
      <alignment horizontal="center"/>
    </xf>
    <xf borderId="57" fillId="17" fontId="19" numFmtId="0" xfId="0" applyAlignment="1" applyBorder="1" applyFont="1">
      <alignment horizontal="center"/>
    </xf>
    <xf borderId="60" fillId="17" fontId="19" numFmtId="0" xfId="0" applyAlignment="1" applyBorder="1" applyFont="1">
      <alignment horizontal="center"/>
    </xf>
    <xf borderId="21" fillId="17" fontId="3" numFmtId="0" xfId="0" applyAlignment="1" applyBorder="1" applyFont="1">
      <alignment horizontal="center"/>
    </xf>
    <xf borderId="21" fillId="17" fontId="3" numFmtId="17" xfId="0" applyBorder="1" applyFont="1" applyNumberFormat="1"/>
    <xf borderId="57" fillId="18" fontId="20" numFmtId="0" xfId="0" applyAlignment="1" applyBorder="1" applyFont="1">
      <alignment horizontal="center"/>
    </xf>
    <xf borderId="57" fillId="19" fontId="21" numFmtId="1" xfId="0" applyAlignment="1" applyBorder="1" applyFont="1" applyNumberFormat="1">
      <alignment horizontal="center"/>
    </xf>
    <xf borderId="21" fillId="18" fontId="17" numFmtId="0" xfId="0" applyAlignment="1" applyBorder="1" applyFont="1">
      <alignment horizontal="center" vertical="center"/>
    </xf>
    <xf borderId="21" fillId="0" fontId="14" numFmtId="170" xfId="0" applyAlignment="1" applyBorder="1" applyFont="1" applyNumberFormat="1">
      <alignment horizontal="center" vertical="center"/>
    </xf>
    <xf borderId="2" fillId="19" fontId="8" numFmtId="0" xfId="0" applyBorder="1" applyFont="1"/>
    <xf borderId="2" fillId="19" fontId="1" numFmtId="0" xfId="0" applyBorder="1" applyFont="1"/>
    <xf borderId="2" fillId="18" fontId="1" numFmtId="0" xfId="0" applyAlignment="1" applyBorder="1" applyFont="1">
      <alignment horizontal="center"/>
    </xf>
    <xf borderId="21" fillId="8" fontId="22" numFmtId="0" xfId="0" applyAlignment="1" applyBorder="1" applyFont="1">
      <alignment horizontal="center"/>
    </xf>
    <xf borderId="21" fillId="8" fontId="22" numFmtId="0" xfId="0" applyBorder="1" applyFont="1"/>
    <xf borderId="45" fillId="23" fontId="10" numFmtId="0" xfId="0" applyAlignment="1" applyBorder="1" applyFill="1" applyFont="1">
      <alignment horizontal="center"/>
    </xf>
    <xf borderId="61" fillId="0" fontId="23" numFmtId="0" xfId="0" applyAlignment="1" applyBorder="1" applyFont="1">
      <alignment horizontal="center"/>
    </xf>
    <xf borderId="33" fillId="0" fontId="23" numFmtId="0" xfId="0" applyAlignment="1" applyBorder="1" applyFont="1">
      <alignment horizontal="center"/>
    </xf>
    <xf borderId="2" fillId="19" fontId="24" numFmtId="0" xfId="0" applyBorder="1" applyFont="1"/>
    <xf borderId="6" fillId="24" fontId="1" numFmtId="0" xfId="0" applyAlignment="1" applyBorder="1" applyFill="1" applyFont="1">
      <alignment horizontal="center" vertical="center"/>
    </xf>
    <xf borderId="3" fillId="17" fontId="1" numFmtId="0" xfId="0" applyAlignment="1" applyBorder="1" applyFont="1">
      <alignment horizontal="center" vertical="center"/>
    </xf>
    <xf borderId="30" fillId="17" fontId="16" numFmtId="0" xfId="0" applyAlignment="1" applyBorder="1" applyFont="1">
      <alignment horizontal="center" vertical="center"/>
    </xf>
    <xf borderId="34" fillId="17" fontId="16" numFmtId="0" xfId="0" applyAlignment="1" applyBorder="1" applyFont="1">
      <alignment horizontal="center" vertical="center"/>
    </xf>
    <xf borderId="62" fillId="17" fontId="16" numFmtId="0" xfId="0" applyAlignment="1" applyBorder="1" applyFont="1">
      <alignment horizontal="center" vertical="center"/>
    </xf>
    <xf borderId="30" fillId="19" fontId="23" numFmtId="1" xfId="0" applyAlignment="1" applyBorder="1" applyFont="1" applyNumberFormat="1">
      <alignment horizontal="center"/>
    </xf>
    <xf borderId="63" fillId="0" fontId="23" numFmtId="171" xfId="0" applyAlignment="1" applyBorder="1" applyFont="1" applyNumberFormat="1">
      <alignment horizontal="center"/>
    </xf>
    <xf borderId="64" fillId="0" fontId="23" numFmtId="171" xfId="0" applyAlignment="1" applyBorder="1" applyFont="1" applyNumberFormat="1">
      <alignment horizontal="center"/>
    </xf>
    <xf borderId="2" fillId="19" fontId="24" numFmtId="171" xfId="0" applyBorder="1" applyFont="1" applyNumberFormat="1"/>
    <xf borderId="2" fillId="17" fontId="25" numFmtId="171" xfId="0" applyAlignment="1" applyBorder="1" applyFont="1" applyNumberFormat="1">
      <alignment horizontal="center"/>
    </xf>
    <xf borderId="2" fillId="18" fontId="25" numFmtId="0" xfId="0" applyAlignment="1" applyBorder="1" applyFont="1">
      <alignment horizontal="center"/>
    </xf>
    <xf borderId="17" fillId="18" fontId="17" numFmtId="16" xfId="0" applyAlignment="1" applyBorder="1" applyFont="1" applyNumberFormat="1">
      <alignment horizontal="center" vertical="center"/>
    </xf>
    <xf borderId="21" fillId="19" fontId="14" numFmtId="1" xfId="0" applyAlignment="1" applyBorder="1" applyFont="1" applyNumberFormat="1">
      <alignment horizontal="center" vertical="center"/>
    </xf>
    <xf borderId="65" fillId="19" fontId="14" numFmtId="1" xfId="0" applyAlignment="1" applyBorder="1" applyFont="1" applyNumberFormat="1">
      <alignment horizontal="center" vertical="center"/>
    </xf>
    <xf borderId="21" fillId="19" fontId="23" numFmtId="0" xfId="0" applyAlignment="1" applyBorder="1" applyFont="1">
      <alignment horizontal="center"/>
    </xf>
    <xf borderId="21" fillId="0" fontId="23" numFmtId="171" xfId="0" applyAlignment="1" applyBorder="1" applyFont="1" applyNumberFormat="1">
      <alignment horizontal="center"/>
    </xf>
    <xf borderId="57" fillId="21" fontId="18" numFmtId="0" xfId="0" applyAlignment="1" applyBorder="1" applyFont="1">
      <alignment horizontal="center"/>
    </xf>
    <xf borderId="57" fillId="21" fontId="19" numFmtId="0" xfId="0" applyAlignment="1" applyBorder="1" applyFont="1">
      <alignment horizontal="center"/>
    </xf>
    <xf borderId="60" fillId="21" fontId="19" numFmtId="0" xfId="0" applyAlignment="1" applyBorder="1" applyFont="1">
      <alignment horizontal="center"/>
    </xf>
    <xf borderId="21" fillId="21" fontId="3" numFmtId="0" xfId="0" applyAlignment="1" applyBorder="1" applyFont="1">
      <alignment horizontal="center"/>
    </xf>
    <xf borderId="21" fillId="21" fontId="3" numFmtId="17" xfId="0" applyBorder="1" applyFont="1" applyNumberFormat="1"/>
    <xf borderId="17" fillId="18" fontId="17" numFmtId="0" xfId="0" applyAlignment="1" applyBorder="1" applyFont="1">
      <alignment horizontal="center" vertical="center"/>
    </xf>
    <xf borderId="11" fillId="18" fontId="17" numFmtId="0" xfId="0" applyAlignment="1" applyBorder="1" applyFont="1">
      <alignment horizontal="center" vertical="center"/>
    </xf>
    <xf borderId="29" fillId="19" fontId="14" numFmtId="1" xfId="0" applyAlignment="1" applyBorder="1" applyFont="1" applyNumberFormat="1">
      <alignment horizontal="center" vertical="center"/>
    </xf>
    <xf borderId="66" fillId="19" fontId="14" numFmtId="1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/>
    </xf>
    <xf borderId="21" fillId="0" fontId="23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26" fillId="0" fontId="23" numFmtId="0" xfId="0" applyAlignment="1" applyBorder="1" applyFont="1">
      <alignment horizontal="center"/>
    </xf>
    <xf borderId="28" fillId="0" fontId="23" numFmtId="0" xfId="0" applyAlignment="1" applyBorder="1" applyFont="1">
      <alignment horizontal="center"/>
    </xf>
    <xf borderId="2" fillId="19" fontId="24" numFmtId="172" xfId="0" applyBorder="1" applyFont="1" applyNumberFormat="1"/>
    <xf borderId="21" fillId="19" fontId="14" numFmtId="165" xfId="0" applyAlignment="1" applyBorder="1" applyFont="1" applyNumberFormat="1">
      <alignment horizontal="center" vertical="center"/>
    </xf>
    <xf borderId="64" fillId="0" fontId="23" numFmtId="172" xfId="0" applyAlignment="1" applyBorder="1" applyFont="1" applyNumberFormat="1">
      <alignment horizontal="center"/>
    </xf>
    <xf borderId="63" fillId="0" fontId="23" numFmtId="172" xfId="0" applyAlignment="1" applyBorder="1" applyFont="1" applyNumberFormat="1">
      <alignment horizontal="center"/>
    </xf>
    <xf borderId="21" fillId="0" fontId="23" numFmtId="172" xfId="0" applyAlignment="1" applyBorder="1" applyFont="1" applyNumberFormat="1">
      <alignment horizontal="center"/>
    </xf>
    <xf borderId="2" fillId="21" fontId="1" numFmtId="0" xfId="0" applyAlignment="1" applyBorder="1" applyFont="1">
      <alignment horizontal="center"/>
    </xf>
    <xf borderId="67" fillId="0" fontId="23" numFmtId="172" xfId="0" applyAlignment="1" applyBorder="1" applyFont="1" applyNumberFormat="1">
      <alignment horizontal="center"/>
    </xf>
    <xf borderId="2" fillId="21" fontId="1" numFmtId="1" xfId="0" applyAlignment="1" applyBorder="1" applyFont="1" applyNumberFormat="1">
      <alignment horizontal="center"/>
    </xf>
    <xf borderId="0" fillId="0" fontId="23" numFmtId="0" xfId="0" applyFont="1"/>
    <xf borderId="2" fillId="19" fontId="23" numFmtId="0" xfId="0" applyBorder="1" applyFont="1"/>
    <xf borderId="0" fillId="0" fontId="23" numFmtId="172" xfId="0" applyAlignment="1" applyFont="1" applyNumberFormat="1">
      <alignment horizontal="center"/>
    </xf>
    <xf borderId="2" fillId="21" fontId="1" numFmtId="0" xfId="0" applyBorder="1" applyFont="1"/>
    <xf borderId="2" fillId="17" fontId="14" numFmtId="0" xfId="0" applyAlignment="1" applyBorder="1" applyFont="1">
      <alignment horizontal="center"/>
    </xf>
    <xf borderId="2" fillId="17" fontId="1" numFmtId="17" xfId="0" applyBorder="1" applyFont="1" applyNumberFormat="1"/>
    <xf borderId="2" fillId="18" fontId="14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16" xfId="0" applyAlignment="1" applyFont="1" applyNumberFormat="1">
      <alignment horizontal="center" vertical="center"/>
    </xf>
    <xf borderId="0" fillId="0" fontId="14" numFmtId="1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21" fillId="18" fontId="17" numFmtId="16" xfId="0" applyAlignment="1" applyBorder="1" applyFont="1" applyNumberFormat="1">
      <alignment horizontal="center"/>
    </xf>
    <xf borderId="21" fillId="0" fontId="14" numFmtId="165" xfId="0" applyAlignment="1" applyBorder="1" applyFont="1" applyNumberFormat="1">
      <alignment horizontal="center" vertical="center"/>
    </xf>
    <xf borderId="0" fillId="0" fontId="27" numFmtId="0" xfId="0" applyFont="1"/>
    <xf borderId="56" fillId="0" fontId="23" numFmtId="171" xfId="0" applyAlignment="1" applyBorder="1" applyFont="1" applyNumberFormat="1">
      <alignment horizontal="center"/>
    </xf>
    <xf borderId="21" fillId="18" fontId="17" numFmtId="0" xfId="0" applyAlignment="1" applyBorder="1" applyFont="1">
      <alignment horizontal="center"/>
    </xf>
    <xf borderId="0" fillId="0" fontId="23" numFmtId="171" xfId="0" applyAlignment="1" applyFont="1" applyNumberFormat="1">
      <alignment horizontal="center"/>
    </xf>
    <xf borderId="2" fillId="21" fontId="14" numFmtId="0" xfId="0" applyAlignment="1" applyBorder="1" applyFont="1">
      <alignment horizontal="center"/>
    </xf>
    <xf borderId="2" fillId="21" fontId="1" numFmtId="17" xfId="0" applyBorder="1" applyFont="1" applyNumberFormat="1"/>
    <xf borderId="0" fillId="0" fontId="28" numFmtId="0" xfId="0" applyFont="1"/>
    <xf borderId="21" fillId="0" fontId="14" numFmtId="2" xfId="0" applyAlignment="1" applyBorder="1" applyFont="1" applyNumberFormat="1">
      <alignment horizontal="center" vertical="center"/>
    </xf>
    <xf borderId="0" fillId="0" fontId="29" numFmtId="0" xfId="0" applyFont="1"/>
    <xf borderId="0" fillId="0" fontId="15" numFmtId="0" xfId="0" applyFont="1"/>
    <xf borderId="0" fillId="0" fontId="30" numFmtId="0" xfId="0" applyAlignment="1" applyFont="1">
      <alignment horizontal="center" vertical="center"/>
    </xf>
    <xf borderId="3" fillId="24" fontId="3" numFmtId="0" xfId="0" applyAlignment="1" applyBorder="1" applyFont="1">
      <alignment horizontal="center" vertical="center"/>
    </xf>
    <xf borderId="4" fillId="24" fontId="1" numFmtId="0" xfId="0" applyAlignment="1" applyBorder="1" applyFont="1">
      <alignment horizontal="center" vertical="center"/>
    </xf>
    <xf borderId="68" fillId="24" fontId="1" numFmtId="0" xfId="0" applyAlignment="1" applyBorder="1" applyFont="1">
      <alignment horizontal="center" vertical="center"/>
    </xf>
    <xf borderId="68" fillId="24" fontId="31" numFmtId="0" xfId="0" applyAlignment="1" applyBorder="1" applyFont="1">
      <alignment horizontal="center" vertical="center"/>
    </xf>
    <xf borderId="6" fillId="24" fontId="31" numFmtId="0" xfId="0" applyAlignment="1" applyBorder="1" applyFont="1">
      <alignment horizontal="center" vertical="center"/>
    </xf>
    <xf borderId="69" fillId="3" fontId="1" numFmtId="0" xfId="0" applyAlignment="1" applyBorder="1" applyFont="1">
      <alignment horizontal="center"/>
    </xf>
    <xf borderId="10" fillId="17" fontId="1" numFmtId="0" xfId="0" applyAlignment="1" applyBorder="1" applyFont="1">
      <alignment horizontal="center" vertical="center"/>
    </xf>
    <xf borderId="70" fillId="17" fontId="1" numFmtId="0" xfId="0" applyAlignment="1" applyBorder="1" applyFont="1">
      <alignment horizontal="center" vertical="center"/>
    </xf>
    <xf borderId="71" fillId="17" fontId="1" numFmtId="49" xfId="0" applyAlignment="1" applyBorder="1" applyFont="1" applyNumberFormat="1">
      <alignment horizontal="center" vertical="center"/>
    </xf>
    <xf borderId="72" fillId="17" fontId="1" numFmtId="49" xfId="0" applyAlignment="1" applyBorder="1" applyFont="1" applyNumberFormat="1">
      <alignment horizontal="center" vertical="center"/>
    </xf>
    <xf borderId="54" fillId="17" fontId="1" numFmtId="0" xfId="0" applyAlignment="1" applyBorder="1" applyFont="1">
      <alignment horizontal="center" vertical="center"/>
    </xf>
    <xf borderId="72" fillId="17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 vertical="center"/>
    </xf>
    <xf borderId="49" fillId="18" fontId="1" numFmtId="0" xfId="0" applyAlignment="1" applyBorder="1" applyFont="1">
      <alignment horizontal="center" vertical="center"/>
    </xf>
    <xf borderId="21" fillId="19" fontId="1" numFmtId="169" xfId="0" applyAlignment="1" applyBorder="1" applyFont="1" applyNumberFormat="1">
      <alignment horizontal="center" vertical="center"/>
    </xf>
    <xf borderId="73" fillId="19" fontId="1" numFmtId="169" xfId="0" applyAlignment="1" applyBorder="1" applyFont="1" applyNumberFormat="1">
      <alignment horizontal="center" vertical="center"/>
    </xf>
    <xf borderId="74" fillId="19" fontId="1" numFmtId="173" xfId="0" applyAlignment="1" applyBorder="1" applyFont="1" applyNumberFormat="1">
      <alignment horizontal="center" vertical="center"/>
    </xf>
    <xf borderId="75" fillId="19" fontId="1" numFmtId="169" xfId="0" applyAlignment="1" applyBorder="1" applyFont="1" applyNumberFormat="1">
      <alignment horizontal="center" vertical="center"/>
    </xf>
    <xf borderId="20" fillId="3" fontId="1" numFmtId="0" xfId="0" applyAlignment="1" applyBorder="1" applyFont="1">
      <alignment horizontal="center"/>
    </xf>
    <xf borderId="21" fillId="4" fontId="1" numFmtId="174" xfId="0" applyBorder="1" applyFont="1" applyNumberFormat="1"/>
    <xf borderId="2" fillId="9" fontId="8" numFmtId="167" xfId="0" applyBorder="1" applyFont="1" applyNumberFormat="1"/>
    <xf borderId="21" fillId="4" fontId="1" numFmtId="175" xfId="0" applyBorder="1" applyFont="1" applyNumberFormat="1"/>
    <xf borderId="73" fillId="0" fontId="1" numFmtId="0" xfId="0" applyAlignment="1" applyBorder="1" applyFont="1">
      <alignment horizontal="center"/>
    </xf>
    <xf borderId="52" fillId="18" fontId="1" numFmtId="0" xfId="0" applyAlignment="1" applyBorder="1" applyFont="1">
      <alignment horizontal="center" vertical="center"/>
    </xf>
    <xf borderId="10" fillId="18" fontId="1" numFmtId="0" xfId="0" applyAlignment="1" applyBorder="1" applyFont="1">
      <alignment horizontal="center" vertical="center"/>
    </xf>
    <xf borderId="29" fillId="19" fontId="1" numFmtId="169" xfId="0" applyAlignment="1" applyBorder="1" applyFont="1" applyNumberFormat="1">
      <alignment horizontal="center" vertical="center"/>
    </xf>
    <xf borderId="12" fillId="19" fontId="1" numFmtId="169" xfId="0" applyAlignment="1" applyBorder="1" applyFont="1" applyNumberFormat="1">
      <alignment horizontal="center" vertical="center"/>
    </xf>
    <xf borderId="76" fillId="19" fontId="1" numFmtId="173" xfId="0" applyAlignment="1" applyBorder="1" applyFont="1" applyNumberFormat="1">
      <alignment horizontal="center" vertical="center"/>
    </xf>
    <xf borderId="77" fillId="18" fontId="10" numFmtId="0" xfId="0" applyAlignment="1" applyBorder="1" applyFont="1">
      <alignment horizontal="center" vertical="center"/>
    </xf>
    <xf borderId="55" fillId="19" fontId="1" numFmtId="169" xfId="0" applyAlignment="1" applyBorder="1" applyFont="1" applyNumberFormat="1">
      <alignment horizontal="center" vertical="center"/>
    </xf>
    <xf borderId="30" fillId="19" fontId="1" numFmtId="173" xfId="0" applyAlignment="1" applyBorder="1" applyFont="1" applyNumberFormat="1">
      <alignment horizontal="center" vertical="center"/>
    </xf>
    <xf borderId="4" fillId="24" fontId="3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vertical="center"/>
    </xf>
    <xf borderId="21" fillId="4" fontId="1" numFmtId="167" xfId="0" applyBorder="1" applyFont="1" applyNumberFormat="1"/>
    <xf borderId="78" fillId="18" fontId="10" numFmtId="0" xfId="0" applyAlignment="1" applyBorder="1" applyFont="1">
      <alignment horizontal="center" vertical="center"/>
    </xf>
    <xf borderId="30" fillId="19" fontId="1" numFmtId="169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79" fillId="24" fontId="1" numFmtId="176" xfId="0" applyAlignment="1" applyBorder="1" applyFont="1" applyNumberFormat="1">
      <alignment horizontal="center" vertical="center"/>
    </xf>
    <xf borderId="80" fillId="0" fontId="2" numFmtId="0" xfId="0" applyBorder="1" applyFont="1"/>
    <xf borderId="79" fillId="24" fontId="1" numFmtId="0" xfId="0" applyAlignment="1" applyBorder="1" applyFont="1">
      <alignment horizontal="center" vertical="center"/>
    </xf>
    <xf borderId="47" fillId="24" fontId="1" numFmtId="176" xfId="0" applyAlignment="1" applyBorder="1" applyFont="1" applyNumberFormat="1">
      <alignment horizontal="center" vertical="center"/>
    </xf>
    <xf borderId="81" fillId="5" fontId="4" numFmtId="0" xfId="0" applyAlignment="1" applyBorder="1" applyFont="1">
      <alignment horizontal="center"/>
    </xf>
    <xf borderId="70" fillId="17" fontId="1" numFmtId="176" xfId="0" applyAlignment="1" applyBorder="1" applyFont="1" applyNumberFormat="1">
      <alignment horizontal="center" vertical="center"/>
    </xf>
    <xf borderId="71" fillId="17" fontId="1" numFmtId="176" xfId="0" applyAlignment="1" applyBorder="1" applyFont="1" applyNumberFormat="1">
      <alignment horizontal="center" vertical="center"/>
    </xf>
    <xf borderId="54" fillId="17" fontId="1" numFmtId="176" xfId="0" applyAlignment="1" applyBorder="1" applyFont="1" applyNumberFormat="1">
      <alignment horizontal="center" vertical="center"/>
    </xf>
    <xf borderId="0" fillId="0" fontId="1" numFmtId="177" xfId="0" applyFont="1" applyNumberFormat="1"/>
    <xf borderId="0" fillId="0" fontId="1" numFmtId="169" xfId="0" applyFont="1" applyNumberFormat="1"/>
    <xf borderId="21" fillId="19" fontId="1" numFmtId="173" xfId="0" applyAlignment="1" applyBorder="1" applyFont="1" applyNumberFormat="1">
      <alignment horizontal="center" vertical="center"/>
    </xf>
    <xf borderId="2" fillId="8" fontId="7" numFmtId="0" xfId="0" applyAlignment="1" applyBorder="1" applyFont="1">
      <alignment horizontal="center"/>
    </xf>
    <xf borderId="65" fillId="8" fontId="7" numFmtId="0" xfId="0" applyAlignment="1" applyBorder="1" applyFont="1">
      <alignment horizontal="center"/>
    </xf>
    <xf borderId="65" fillId="6" fontId="1" numFmtId="0" xfId="0" applyAlignment="1" applyBorder="1" applyFont="1">
      <alignment horizontal="center"/>
    </xf>
    <xf borderId="2" fillId="6" fontId="1" numFmtId="0" xfId="0" applyAlignment="1" applyBorder="1" applyFont="1">
      <alignment horizontal="center"/>
    </xf>
    <xf borderId="2" fillId="6" fontId="1" numFmtId="16" xfId="0" applyAlignment="1" applyBorder="1" applyFont="1" applyNumberFormat="1">
      <alignment horizontal="center"/>
    </xf>
    <xf borderId="21" fillId="19" fontId="1" numFmtId="167" xfId="0" applyBorder="1" applyFont="1" applyNumberFormat="1"/>
    <xf borderId="10" fillId="18" fontId="10" numFmtId="0" xfId="0" applyAlignment="1" applyBorder="1" applyFont="1">
      <alignment horizontal="center" vertical="center"/>
    </xf>
    <xf borderId="2" fillId="9" fontId="8" numFmtId="0" xfId="0" applyAlignment="1" applyBorder="1" applyFont="1">
      <alignment vertical="center"/>
    </xf>
    <xf borderId="79" fillId="24" fontId="1" numFmtId="169" xfId="0" applyAlignment="1" applyBorder="1" applyFont="1" applyNumberFormat="1">
      <alignment horizontal="center" vertical="center"/>
    </xf>
    <xf borderId="79" fillId="24" fontId="33" numFmtId="169" xfId="0" applyAlignment="1" applyBorder="1" applyFont="1" applyNumberFormat="1">
      <alignment horizontal="center" vertical="center"/>
    </xf>
    <xf borderId="47" fillId="24" fontId="1" numFmtId="169" xfId="0" applyAlignment="1" applyBorder="1" applyFont="1" applyNumberFormat="1">
      <alignment horizontal="center" vertical="center"/>
    </xf>
    <xf borderId="2" fillId="9" fontId="8" numFmtId="0" xfId="0" applyAlignment="1" applyBorder="1" applyFont="1">
      <alignment horizontal="center" vertical="center"/>
    </xf>
    <xf borderId="21" fillId="7" fontId="34" numFmtId="2" xfId="0" applyBorder="1" applyFont="1" applyNumberFormat="1"/>
    <xf borderId="82" fillId="0" fontId="1" numFmtId="2" xfId="0" applyBorder="1" applyFont="1" applyNumberFormat="1"/>
    <xf borderId="21" fillId="19" fontId="23" numFmtId="167" xfId="0" applyAlignment="1" applyBorder="1" applyFont="1" applyNumberFormat="1">
      <alignment vertical="center"/>
    </xf>
    <xf borderId="55" fillId="7" fontId="6" numFmtId="178" xfId="0" applyBorder="1" applyFont="1" applyNumberFormat="1"/>
    <xf borderId="2" fillId="9" fontId="8" numFmtId="0" xfId="0" applyAlignment="1" applyBorder="1" applyFont="1">
      <alignment horizontal="right"/>
    </xf>
    <xf borderId="70" fillId="17" fontId="1" numFmtId="169" xfId="0" applyAlignment="1" applyBorder="1" applyFont="1" applyNumberFormat="1">
      <alignment horizontal="center" vertical="center"/>
    </xf>
    <xf borderId="71" fillId="17" fontId="1" numFmtId="169" xfId="0" applyAlignment="1" applyBorder="1" applyFont="1" applyNumberFormat="1">
      <alignment horizontal="center" vertical="center"/>
    </xf>
    <xf borderId="54" fillId="17" fontId="1" numFmtId="169" xfId="0" applyAlignment="1" applyBorder="1" applyFont="1" applyNumberFormat="1">
      <alignment horizontal="center" vertical="center"/>
    </xf>
    <xf borderId="2" fillId="9" fontId="8" numFmtId="164" xfId="0" applyAlignment="1" applyBorder="1" applyFont="1" applyNumberFormat="1">
      <alignment vertical="center"/>
    </xf>
    <xf borderId="21" fillId="19" fontId="1" numFmtId="166" xfId="0" applyAlignment="1" applyBorder="1" applyFont="1" applyNumberFormat="1">
      <alignment horizontal="center" vertical="center"/>
    </xf>
    <xf borderId="83" fillId="25" fontId="10" numFmtId="0" xfId="0" applyAlignment="1" applyBorder="1" applyFill="1" applyFont="1">
      <alignment horizontal="center"/>
    </xf>
    <xf borderId="83" fillId="26" fontId="10" numFmtId="0" xfId="0" applyAlignment="1" applyBorder="1" applyFill="1" applyFont="1">
      <alignment horizontal="center"/>
    </xf>
    <xf borderId="84" fillId="7" fontId="34" numFmtId="2" xfId="0" applyBorder="1" applyFont="1" applyNumberFormat="1"/>
    <xf borderId="55" fillId="7" fontId="34" numFmtId="2" xfId="0" applyBorder="1" applyFont="1" applyNumberFormat="1"/>
    <xf borderId="85" fillId="27" fontId="10" numFmtId="0" xfId="0" applyBorder="1" applyFill="1" applyFont="1"/>
    <xf borderId="85" fillId="27" fontId="35" numFmtId="0" xfId="0" applyBorder="1" applyFont="1"/>
    <xf borderId="19" fillId="19" fontId="1" numFmtId="1" xfId="0" applyAlignment="1" applyBorder="1" applyFont="1" applyNumberFormat="1">
      <alignment horizontal="center"/>
    </xf>
    <xf borderId="19" fillId="28" fontId="1" numFmtId="1" xfId="0" applyAlignment="1" applyBorder="1" applyFill="1" applyFont="1" applyNumberFormat="1">
      <alignment horizontal="center"/>
    </xf>
    <xf borderId="2" fillId="19" fontId="1" numFmtId="166" xfId="0" applyAlignment="1" applyBorder="1" applyFont="1" applyNumberFormat="1">
      <alignment horizontal="center" vertical="center"/>
    </xf>
    <xf borderId="2" fillId="7" fontId="34" numFmtId="170" xfId="0" applyBorder="1" applyFont="1" applyNumberFormat="1"/>
    <xf borderId="21" fillId="0" fontId="36" numFmtId="0" xfId="0" applyBorder="1" applyFont="1"/>
    <xf borderId="0" fillId="0" fontId="1" numFmtId="170" xfId="0" applyFont="1" applyNumberFormat="1"/>
    <xf borderId="0" fillId="0" fontId="5" numFmtId="0" xfId="0" applyAlignment="1" applyFont="1">
      <alignment horizontal="center" vertical="center"/>
    </xf>
    <xf borderId="0" fillId="0" fontId="37" numFmtId="0" xfId="0" applyAlignment="1" applyFont="1">
      <alignment horizontal="center" vertical="center"/>
    </xf>
    <xf borderId="3" fillId="7" fontId="34" numFmtId="0" xfId="0" applyBorder="1" applyFont="1"/>
    <xf borderId="0" fillId="0" fontId="38" numFmtId="0" xfId="0" applyFont="1"/>
    <xf borderId="7" fillId="6" fontId="1" numFmtId="0" xfId="0" applyAlignment="1" applyBorder="1" applyFont="1">
      <alignment horizontal="center"/>
    </xf>
    <xf borderId="13" fillId="19" fontId="1" numFmtId="1" xfId="0" applyAlignment="1" applyBorder="1" applyFont="1" applyNumberFormat="1">
      <alignment horizontal="center"/>
    </xf>
    <xf borderId="13" fillId="28" fontId="1" numFmtId="1" xfId="0" applyAlignment="1" applyBorder="1" applyFont="1" applyNumberFormat="1">
      <alignment horizontal="center"/>
    </xf>
    <xf borderId="3" fillId="5" fontId="3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4" fillId="5" fontId="1" numFmtId="176" xfId="0" applyAlignment="1" applyBorder="1" applyFont="1" applyNumberFormat="1">
      <alignment horizontal="center" vertical="center"/>
    </xf>
    <xf borderId="6" fillId="5" fontId="1" numFmtId="0" xfId="0" applyAlignment="1" applyBorder="1" applyFont="1">
      <alignment horizontal="center" vertical="center"/>
    </xf>
    <xf borderId="10" fillId="29" fontId="1" numFmtId="0" xfId="0" applyAlignment="1" applyBorder="1" applyFill="1" applyFont="1">
      <alignment horizontal="center" vertical="center"/>
    </xf>
    <xf borderId="11" fillId="29" fontId="1" numFmtId="0" xfId="0" applyAlignment="1" applyBorder="1" applyFont="1">
      <alignment horizontal="center" vertical="center"/>
    </xf>
    <xf borderId="12" fillId="29" fontId="1" numFmtId="49" xfId="0" applyAlignment="1" applyBorder="1" applyFont="1" applyNumberFormat="1">
      <alignment horizontal="center" vertical="center"/>
    </xf>
    <xf borderId="11" fillId="29" fontId="1" numFmtId="176" xfId="0" applyAlignment="1" applyBorder="1" applyFont="1" applyNumberFormat="1">
      <alignment horizontal="center" vertical="center"/>
    </xf>
    <xf borderId="12" fillId="29" fontId="1" numFmtId="176" xfId="0" applyAlignment="1" applyBorder="1" applyFont="1" applyNumberFormat="1">
      <alignment horizontal="center" vertical="center"/>
    </xf>
    <xf borderId="13" fillId="29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86" fillId="6" fontId="1" numFmtId="0" xfId="0" applyAlignment="1" applyBorder="1" applyFont="1">
      <alignment horizontal="center" vertical="center"/>
    </xf>
    <xf borderId="3" fillId="19" fontId="1" numFmtId="169" xfId="0" applyAlignment="1" applyBorder="1" applyFont="1" applyNumberFormat="1">
      <alignment horizontal="center" vertical="center"/>
    </xf>
    <xf borderId="32" fillId="19" fontId="1" numFmtId="169" xfId="0" applyAlignment="1" applyBorder="1" applyFont="1" applyNumberFormat="1">
      <alignment horizontal="center" vertical="center"/>
    </xf>
    <xf borderId="2" fillId="16" fontId="1" numFmtId="0" xfId="0" applyBorder="1" applyFont="1"/>
    <xf borderId="17" fillId="6" fontId="1" numFmtId="0" xfId="0" applyAlignment="1" applyBorder="1" applyFont="1">
      <alignment horizontal="center" vertical="center"/>
    </xf>
    <xf borderId="0" fillId="0" fontId="1" numFmtId="164" xfId="0" applyFont="1" applyNumberFormat="1"/>
    <xf borderId="21" fillId="16" fontId="1" numFmtId="0" xfId="0" applyBorder="1" applyFont="1"/>
    <xf borderId="29" fillId="14" fontId="1" numFmtId="2" xfId="0" applyBorder="1" applyFont="1" applyNumberFormat="1"/>
    <xf borderId="21" fillId="16" fontId="1" numFmtId="168" xfId="0" applyBorder="1" applyFont="1" applyNumberFormat="1"/>
    <xf borderId="0" fillId="0" fontId="1" numFmtId="10" xfId="0" applyFont="1" applyNumberFormat="1"/>
    <xf borderId="0" fillId="0" fontId="1" numFmtId="172" xfId="0" applyFont="1" applyNumberFormat="1"/>
    <xf borderId="11" fillId="6" fontId="1" numFmtId="0" xfId="0" applyAlignment="1" applyBorder="1" applyFont="1">
      <alignment horizontal="center" vertical="center"/>
    </xf>
    <xf borderId="0" fillId="0" fontId="5" numFmtId="176" xfId="0" applyAlignment="1" applyFont="1" applyNumberFormat="1">
      <alignment horizontal="center" vertical="center"/>
    </xf>
    <xf borderId="0" fillId="0" fontId="39" numFmtId="176" xfId="0" applyAlignment="1" applyFont="1" applyNumberFormat="1">
      <alignment horizontal="center" vertical="center"/>
    </xf>
    <xf borderId="6" fillId="5" fontId="1" numFmtId="176" xfId="0" applyAlignment="1" applyBorder="1" applyFont="1" applyNumberFormat="1">
      <alignment horizontal="center" vertical="center"/>
    </xf>
    <xf borderId="13" fillId="29" fontId="1" numFmtId="176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horizontal="center" vertical="center"/>
    </xf>
    <xf borderId="21" fillId="0" fontId="1" numFmtId="9" xfId="0" applyAlignment="1" applyBorder="1" applyFont="1" applyNumberFormat="1">
      <alignment horizontal="center"/>
    </xf>
    <xf borderId="21" fillId="19" fontId="1" numFmtId="168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87" fillId="3" fontId="1" numFmtId="0" xfId="0" applyAlignment="1" applyBorder="1" applyFont="1">
      <alignment horizontal="center" vertical="center"/>
    </xf>
    <xf borderId="68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6" fillId="3" fontId="3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12" fillId="3" fontId="1" numFmtId="49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center" vertical="center"/>
    </xf>
    <xf borderId="54" fillId="3" fontId="1" numFmtId="0" xfId="0" applyAlignment="1" applyBorder="1" applyFont="1">
      <alignment horizontal="center" vertical="center"/>
    </xf>
    <xf borderId="49" fillId="3" fontId="1" numFmtId="0" xfId="0" applyAlignment="1" applyBorder="1" applyFont="1">
      <alignment horizontal="center" vertical="center"/>
    </xf>
    <xf borderId="3" fillId="0" fontId="1" numFmtId="176" xfId="0" applyAlignment="1" applyBorder="1" applyFont="1" applyNumberFormat="1">
      <alignment horizontal="center" vertical="center"/>
    </xf>
    <xf borderId="32" fillId="0" fontId="1" numFmtId="176" xfId="0" applyAlignment="1" applyBorder="1" applyFont="1" applyNumberFormat="1">
      <alignment horizontal="center" vertical="center"/>
    </xf>
    <xf borderId="25" fillId="0" fontId="1" numFmtId="176" xfId="0" applyAlignment="1" applyBorder="1" applyFont="1" applyNumberFormat="1">
      <alignment horizontal="center" vertical="center"/>
    </xf>
    <xf borderId="18" fillId="0" fontId="1" numFmtId="176" xfId="0" applyAlignment="1" applyBorder="1" applyFont="1" applyNumberFormat="1">
      <alignment horizontal="center" vertical="center"/>
    </xf>
    <xf borderId="88" fillId="0" fontId="1" numFmtId="176" xfId="0" applyAlignment="1" applyBorder="1" applyFont="1" applyNumberFormat="1">
      <alignment horizontal="center" vertical="center"/>
    </xf>
    <xf borderId="6" fillId="0" fontId="1" numFmtId="176" xfId="0" applyAlignment="1" applyBorder="1" applyFont="1" applyNumberFormat="1">
      <alignment horizontal="center" vertical="center"/>
    </xf>
    <xf borderId="5" fillId="0" fontId="1" numFmtId="176" xfId="0" applyAlignment="1" applyBorder="1" applyFont="1" applyNumberFormat="1">
      <alignment horizontal="center" vertical="center"/>
    </xf>
    <xf borderId="52" fillId="3" fontId="1" numFmtId="0" xfId="0" applyAlignment="1" applyBorder="1" applyFont="1">
      <alignment horizontal="center" vertical="center"/>
    </xf>
    <xf borderId="17" fillId="0" fontId="1" numFmtId="176" xfId="0" applyAlignment="1" applyBorder="1" applyFont="1" applyNumberFormat="1">
      <alignment horizontal="center" vertical="center"/>
    </xf>
    <xf borderId="19" fillId="0" fontId="1" numFmtId="176" xfId="0" applyAlignment="1" applyBorder="1" applyFont="1" applyNumberFormat="1">
      <alignment horizontal="center" vertical="center"/>
    </xf>
    <xf borderId="89" fillId="0" fontId="1" numFmtId="176" xfId="0" applyAlignment="1" applyBorder="1" applyFont="1" applyNumberFormat="1">
      <alignment horizontal="center" vertical="center"/>
    </xf>
    <xf borderId="90" fillId="0" fontId="1" numFmtId="176" xfId="0" applyAlignment="1" applyBorder="1" applyFont="1" applyNumberFormat="1">
      <alignment horizontal="center" vertical="center"/>
    </xf>
    <xf borderId="91" fillId="0" fontId="1" numFmtId="176" xfId="0" applyAlignment="1" applyBorder="1" applyFont="1" applyNumberFormat="1">
      <alignment horizontal="center" vertical="center"/>
    </xf>
    <xf borderId="11" fillId="0" fontId="1" numFmtId="176" xfId="0" applyAlignment="1" applyBorder="1" applyFont="1" applyNumberFormat="1">
      <alignment horizontal="center" vertical="center"/>
    </xf>
    <xf borderId="13" fillId="0" fontId="1" numFmtId="176" xfId="0" applyAlignment="1" applyBorder="1" applyFont="1" applyNumberFormat="1">
      <alignment horizontal="center" vertical="center"/>
    </xf>
    <xf borderId="92" fillId="0" fontId="1" numFmtId="176" xfId="0" applyAlignment="1" applyBorder="1" applyFont="1" applyNumberFormat="1">
      <alignment horizontal="center" vertical="center"/>
    </xf>
    <xf borderId="93" fillId="0" fontId="1" numFmtId="176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2" fillId="27" fontId="40" numFmtId="0" xfId="0" applyAlignment="1" applyBorder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94" fillId="7" fontId="34" numFmtId="172" xfId="0" applyAlignment="1" applyBorder="1" applyFont="1" applyNumberFormat="1">
      <alignment horizontal="center"/>
    </xf>
    <xf borderId="57" fillId="4" fontId="19" numFmtId="172" xfId="0" applyAlignment="1" applyBorder="1" applyFont="1" applyNumberFormat="1">
      <alignment horizontal="center"/>
    </xf>
    <xf borderId="2" fillId="7" fontId="34" numFmtId="172" xfId="0" applyBorder="1" applyFont="1" applyNumberFormat="1"/>
    <xf borderId="0" fillId="0" fontId="1" numFmtId="0" xfId="0" applyAlignment="1" applyFont="1">
      <alignment readingOrder="0"/>
    </xf>
    <xf borderId="67" fillId="0" fontId="1" numFmtId="0" xfId="0" applyBorder="1" applyFont="1"/>
    <xf borderId="95" fillId="0" fontId="1" numFmtId="0" xfId="0" applyAlignment="1" applyBorder="1" applyFont="1">
      <alignment horizontal="center"/>
    </xf>
    <xf borderId="95" fillId="0" fontId="1" numFmtId="0" xfId="0" applyBorder="1" applyFont="1"/>
    <xf borderId="21" fillId="0" fontId="1" numFmtId="171" xfId="0" applyBorder="1" applyFont="1" applyNumberFormat="1"/>
    <xf borderId="94" fillId="10" fontId="41" numFmtId="172" xfId="0" applyAlignment="1" applyBorder="1" applyFont="1" applyNumberFormat="1">
      <alignment horizontal="center"/>
    </xf>
    <xf borderId="96" fillId="10" fontId="41" numFmtId="172" xfId="0" applyAlignment="1" applyBorder="1" applyFont="1" applyNumberFormat="1">
      <alignment horizontal="center"/>
    </xf>
    <xf borderId="2" fillId="7" fontId="34" numFmtId="0" xfId="0" applyBorder="1" applyFont="1"/>
    <xf borderId="97" fillId="10" fontId="9" numFmtId="0" xfId="0" applyBorder="1" applyFont="1"/>
    <xf borderId="65" fillId="7" fontId="34" numFmtId="0" xfId="0" applyBorder="1" applyFont="1"/>
    <xf borderId="51" fillId="7" fontId="34" numFmtId="0" xfId="0" applyAlignment="1" applyBorder="1" applyFont="1">
      <alignment horizontal="center"/>
    </xf>
    <xf borderId="51" fillId="7" fontId="34" numFmtId="0" xfId="0" applyBorder="1" applyFont="1"/>
    <xf borderId="94" fillId="10" fontId="41" numFmtId="177" xfId="0" applyAlignment="1" applyBorder="1" applyFont="1" applyNumberFormat="1">
      <alignment horizontal="center"/>
    </xf>
    <xf borderId="82" fillId="0" fontId="1" numFmtId="0" xfId="0" applyBorder="1" applyFont="1"/>
    <xf borderId="62" fillId="7" fontId="34" numFmtId="0" xfId="0" applyBorder="1" applyFont="1"/>
    <xf borderId="2" fillId="7" fontId="34" numFmtId="0" xfId="0" applyAlignment="1" applyBorder="1" applyFont="1">
      <alignment horizontal="center"/>
    </xf>
    <xf borderId="65" fillId="9" fontId="8" numFmtId="0" xfId="0" applyBorder="1" applyFont="1"/>
    <xf borderId="51" fillId="9" fontId="8" numFmtId="0" xfId="0" applyAlignment="1" applyBorder="1" applyFont="1">
      <alignment horizontal="center"/>
    </xf>
    <xf borderId="51" fillId="9" fontId="8" numFmtId="0" xfId="0" applyBorder="1" applyFont="1"/>
    <xf borderId="21" fillId="9" fontId="8" numFmtId="0" xfId="0" applyBorder="1" applyFont="1"/>
    <xf borderId="21" fillId="9" fontId="8" numFmtId="171" xfId="0" applyBorder="1" applyFont="1" applyNumberFormat="1"/>
    <xf borderId="94" fillId="27" fontId="10" numFmtId="172" xfId="0" applyAlignment="1" applyBorder="1" applyFont="1" applyNumberFormat="1">
      <alignment horizontal="center"/>
    </xf>
    <xf borderId="31" fillId="9" fontId="8" numFmtId="0" xfId="0" applyBorder="1" applyFont="1"/>
    <xf borderId="48" fillId="9" fontId="8" numFmtId="0" xfId="0" applyAlignment="1" applyBorder="1" applyFont="1">
      <alignment horizontal="center"/>
    </xf>
    <xf borderId="48" fillId="9" fontId="8" numFmtId="0" xfId="0" applyBorder="1" applyFont="1"/>
    <xf borderId="63" fillId="0" fontId="1" numFmtId="0" xfId="0" applyBorder="1" applyFont="1"/>
    <xf borderId="98" fillId="0" fontId="1" numFmtId="0" xfId="0" applyAlignment="1" applyBorder="1" applyFont="1">
      <alignment horizontal="center"/>
    </xf>
    <xf borderId="98" fillId="0" fontId="1" numFmtId="0" xfId="0" applyBorder="1" applyFont="1"/>
    <xf borderId="2" fillId="9" fontId="8" numFmtId="0" xfId="0" applyAlignment="1" applyBorder="1" applyFont="1">
      <alignment horizontal="center"/>
    </xf>
    <xf borderId="57" fillId="4" fontId="19" numFmtId="177" xfId="0" applyBorder="1" applyFont="1" applyNumberFormat="1"/>
    <xf borderId="0" fillId="0" fontId="42" numFmtId="177" xfId="0" applyFont="1" applyNumberFormat="1"/>
    <xf borderId="0" fillId="0" fontId="1" numFmtId="16" xfId="0" applyFont="1" applyNumberFormat="1"/>
    <xf borderId="0" fillId="0" fontId="43" numFmtId="0" xfId="0" applyAlignment="1" applyFont="1">
      <alignment horizontal="left" shrinkToFit="0" vertical="center" wrapText="1"/>
    </xf>
    <xf borderId="0" fillId="0" fontId="1" numFmtId="9" xfId="0" applyFont="1" applyNumberFormat="1"/>
    <xf borderId="0" fillId="0" fontId="44" numFmtId="0" xfId="0" applyFont="1"/>
    <xf borderId="2" fillId="30" fontId="44" numFmtId="0" xfId="0" applyBorder="1" applyFill="1" applyFont="1"/>
    <xf borderId="0" fillId="0" fontId="45" numFmtId="0" xfId="0" applyFont="1"/>
    <xf borderId="0" fillId="0" fontId="45" numFmtId="1" xfId="0" applyFont="1" applyNumberFormat="1"/>
    <xf borderId="2" fillId="31" fontId="44" numFmtId="1" xfId="0" applyBorder="1" applyFill="1" applyFont="1" applyNumberFormat="1"/>
    <xf borderId="2" fillId="31" fontId="44" numFmtId="0" xfId="0" applyBorder="1" applyFont="1"/>
    <xf borderId="2" fillId="31" fontId="1" numFmtId="0" xfId="0" applyBorder="1" applyFont="1"/>
    <xf borderId="21" fillId="0" fontId="44" numFmtId="0" xfId="0" applyAlignment="1" applyBorder="1" applyFont="1">
      <alignment horizontal="center"/>
    </xf>
    <xf borderId="21" fillId="32" fontId="1" numFmtId="166" xfId="0" applyAlignment="1" applyBorder="1" applyFill="1" applyFont="1" applyNumberFormat="1">
      <alignment horizontal="center"/>
    </xf>
    <xf borderId="0" fillId="0" fontId="44" numFmtId="1" xfId="0" applyAlignment="1" applyFont="1" applyNumberFormat="1">
      <alignment horizontal="left"/>
    </xf>
    <xf borderId="0" fillId="0" fontId="44" numFmtId="0" xfId="0" applyAlignment="1" applyFont="1">
      <alignment horizontal="left"/>
    </xf>
    <xf borderId="0" fillId="0" fontId="44" numFmtId="167" xfId="0" applyAlignment="1" applyFont="1" applyNumberFormat="1">
      <alignment horizontal="center"/>
    </xf>
    <xf borderId="0" fillId="0" fontId="1" numFmtId="171" xfId="0" applyFont="1" applyNumberFormat="1"/>
    <xf borderId="0" fillId="0" fontId="44" numFmtId="0" xfId="0" applyAlignment="1" applyFont="1">
      <alignment horizontal="center"/>
    </xf>
    <xf borderId="3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left"/>
    </xf>
    <xf borderId="73" fillId="0" fontId="1" numFmtId="167" xfId="0" applyAlignment="1" applyBorder="1" applyFont="1" applyNumberFormat="1">
      <alignment horizontal="center"/>
    </xf>
    <xf borderId="11" fillId="0" fontId="1" numFmtId="0" xfId="0" applyAlignment="1" applyBorder="1" applyFont="1">
      <alignment horizontal="left"/>
    </xf>
    <xf borderId="12" fillId="0" fontId="1" numFmtId="167" xfId="0" applyAlignment="1" applyBorder="1" applyFont="1" applyNumberFormat="1">
      <alignment horizontal="center"/>
    </xf>
    <xf borderId="99" fillId="0" fontId="1" numFmtId="0" xfId="0" applyAlignment="1" applyBorder="1" applyFont="1">
      <alignment horizontal="left"/>
    </xf>
    <xf borderId="2" fillId="9" fontId="8" numFmtId="0" xfId="0" applyAlignment="1" applyBorder="1" applyFont="1">
      <alignment horizontal="left"/>
    </xf>
    <xf borderId="61" fillId="3" fontId="1" numFmtId="0" xfId="0" applyAlignment="1" applyBorder="1" applyFont="1">
      <alignment horizontal="center"/>
    </xf>
    <xf borderId="100" fillId="0" fontId="2" numFmtId="0" xfId="0" applyBorder="1" applyFont="1"/>
    <xf borderId="101" fillId="0" fontId="2" numFmtId="0" xfId="0" applyBorder="1" applyFont="1"/>
    <xf borderId="26" fillId="3" fontId="3" numFmtId="0" xfId="0" applyAlignment="1" applyBorder="1" applyFont="1">
      <alignment horizontal="center" vertical="center"/>
    </xf>
    <xf borderId="61" fillId="3" fontId="31" numFmtId="0" xfId="0" applyAlignment="1" applyBorder="1" applyFont="1">
      <alignment horizontal="center" vertical="center"/>
    </xf>
    <xf borderId="21" fillId="3" fontId="1" numFmtId="0" xfId="0" applyAlignment="1" applyBorder="1" applyFont="1">
      <alignment horizontal="center" vertical="center"/>
    </xf>
    <xf borderId="30" fillId="3" fontId="1" numFmtId="0" xfId="0" applyAlignment="1" applyBorder="1" applyFont="1">
      <alignment horizontal="center" vertical="center"/>
    </xf>
    <xf borderId="30" fillId="3" fontId="1" numFmtId="0" xfId="0" applyBorder="1" applyFont="1"/>
    <xf borderId="30" fillId="3" fontId="1" numFmtId="0" xfId="0" applyAlignment="1" applyBorder="1" applyFont="1">
      <alignment horizontal="center"/>
    </xf>
    <xf borderId="26" fillId="3" fontId="1" numFmtId="0" xfId="0" applyAlignment="1" applyBorder="1" applyFont="1">
      <alignment horizontal="center" vertical="center"/>
    </xf>
    <xf borderId="33" fillId="3" fontId="1" numFmtId="0" xfId="0" applyBorder="1" applyFont="1"/>
    <xf borderId="21" fillId="0" fontId="1" numFmtId="178" xfId="0" applyAlignment="1" applyBorder="1" applyFont="1" applyNumberFormat="1">
      <alignment horizontal="center"/>
    </xf>
    <xf borderId="21" fillId="0" fontId="1" numFmtId="178" xfId="0" applyBorder="1" applyFont="1" applyNumberFormat="1"/>
    <xf borderId="86" fillId="3" fontId="1" numFmtId="0" xfId="0" applyAlignment="1" applyBorder="1" applyFont="1">
      <alignment horizontal="center" vertical="center"/>
    </xf>
    <xf borderId="18" fillId="0" fontId="1" numFmtId="167" xfId="0" applyAlignment="1" applyBorder="1" applyFont="1" applyNumberFormat="1">
      <alignment horizontal="center"/>
    </xf>
    <xf borderId="17" fillId="3" fontId="1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center"/>
    </xf>
    <xf borderId="7" fillId="8" fontId="7" numFmtId="0" xfId="0" applyAlignment="1" applyBorder="1" applyFont="1">
      <alignment horizontal="center"/>
    </xf>
    <xf borderId="7" fillId="9" fontId="8" numFmtId="0" xfId="0" applyAlignment="1" applyBorder="1" applyFont="1">
      <alignment horizontal="center"/>
    </xf>
    <xf borderId="102" fillId="33" fontId="1" numFmtId="0" xfId="0" applyAlignment="1" applyBorder="1" applyFill="1" applyFont="1">
      <alignment horizontal="center"/>
    </xf>
    <xf borderId="103" fillId="0" fontId="2" numFmtId="0" xfId="0" applyBorder="1" applyFont="1"/>
    <xf borderId="104" fillId="4" fontId="19" numFmtId="0" xfId="0" applyAlignment="1" applyBorder="1" applyFont="1">
      <alignment horizontal="center"/>
    </xf>
    <xf borderId="105" fillId="0" fontId="2" numFmtId="0" xfId="0" applyBorder="1" applyFont="1"/>
    <xf borderId="26" fillId="0" fontId="46" numFmtId="168" xfId="0" applyAlignment="1" applyBorder="1" applyFont="1" applyNumberFormat="1">
      <alignment horizontal="center" vertical="center"/>
    </xf>
    <xf borderId="27" fillId="0" fontId="46" numFmtId="49" xfId="0" applyAlignment="1" applyBorder="1" applyFont="1" applyNumberFormat="1">
      <alignment horizontal="center" vertical="center"/>
    </xf>
    <xf borderId="33" fillId="0" fontId="46" numFmtId="49" xfId="0" applyAlignment="1" applyBorder="1" applyFont="1" applyNumberFormat="1">
      <alignment horizontal="center" vertical="center"/>
    </xf>
    <xf borderId="26" fillId="0" fontId="46" numFmtId="0" xfId="0" applyAlignment="1" applyBorder="1" applyFont="1">
      <alignment horizontal="center"/>
    </xf>
    <xf borderId="64" fillId="0" fontId="46" numFmtId="166" xfId="0" applyAlignment="1" applyBorder="1" applyFont="1" applyNumberFormat="1">
      <alignment horizontal="center" vertical="center"/>
    </xf>
    <xf borderId="64" fillId="0" fontId="46" numFmtId="166" xfId="0" applyAlignment="1" applyBorder="1" applyFont="1" applyNumberFormat="1">
      <alignment horizontal="center"/>
    </xf>
    <xf borderId="21" fillId="0" fontId="46" numFmtId="166" xfId="0" applyAlignment="1" applyBorder="1" applyFont="1" applyNumberFormat="1">
      <alignment horizontal="center" vertical="center"/>
    </xf>
    <xf borderId="21" fillId="0" fontId="46" numFmtId="166" xfId="0" applyAlignment="1" applyBorder="1" applyFont="1" applyNumberFormat="1">
      <alignment horizontal="center"/>
    </xf>
    <xf borderId="21" fillId="0" fontId="46" numFmtId="0" xfId="0" applyAlignment="1" applyBorder="1" applyFont="1">
      <alignment horizontal="center" vertical="center"/>
    </xf>
    <xf borderId="21" fillId="0" fontId="46" numFmtId="49" xfId="0" applyAlignment="1" applyBorder="1" applyFont="1" applyNumberFormat="1">
      <alignment horizontal="center" vertical="center"/>
    </xf>
    <xf borderId="21" fillId="0" fontId="46" numFmtId="166" xfId="0" applyAlignment="1" applyBorder="1" applyFont="1" applyNumberFormat="1">
      <alignment vertical="center"/>
    </xf>
    <xf borderId="21" fillId="24" fontId="1" numFmtId="0" xfId="0" applyAlignment="1" applyBorder="1" applyFont="1">
      <alignment horizontal="center"/>
    </xf>
    <xf borderId="67" fillId="24" fontId="1" numFmtId="0" xfId="0" applyAlignment="1" applyBorder="1" applyFont="1">
      <alignment horizontal="center"/>
    </xf>
    <xf borderId="50" fillId="0" fontId="2" numFmtId="0" xfId="0" applyBorder="1" applyFont="1"/>
    <xf borderId="21" fillId="17" fontId="1" numFmtId="0" xfId="0" applyAlignment="1" applyBorder="1" applyFont="1">
      <alignment horizontal="center"/>
    </xf>
    <xf borderId="21" fillId="17" fontId="1" numFmtId="49" xfId="0" applyAlignment="1" applyBorder="1" applyFont="1" applyNumberFormat="1">
      <alignment horizontal="center"/>
    </xf>
    <xf borderId="21" fillId="17" fontId="1" numFmtId="49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0" fillId="0" fontId="13" numFmtId="174" xfId="0" applyFont="1" applyNumberFormat="1"/>
    <xf borderId="21" fillId="21" fontId="1" numFmtId="1" xfId="0" applyAlignment="1" applyBorder="1" applyFont="1" applyNumberFormat="1">
      <alignment horizontal="center"/>
    </xf>
    <xf borderId="21" fillId="18" fontId="1" numFmtId="0" xfId="0" applyAlignment="1" applyBorder="1" applyFont="1">
      <alignment horizontal="center"/>
    </xf>
    <xf borderId="21" fillId="19" fontId="1" numFmtId="1" xfId="0" applyAlignment="1" applyBorder="1" applyFont="1" applyNumberFormat="1">
      <alignment horizontal="center"/>
    </xf>
    <xf borderId="2" fillId="8" fontId="7" numFmtId="171" xfId="0" applyAlignment="1" applyBorder="1" applyFont="1" applyNumberFormat="1">
      <alignment horizontal="center"/>
    </xf>
    <xf borderId="2" fillId="7" fontId="34" numFmtId="171" xfId="0" applyAlignment="1" applyBorder="1" applyFont="1" applyNumberFormat="1">
      <alignment horizontal="center"/>
    </xf>
    <xf borderId="2" fillId="8" fontId="7" numFmtId="172" xfId="0" applyBorder="1" applyFont="1" applyNumberFormat="1"/>
    <xf borderId="21" fillId="6" fontId="1" numFmtId="0" xfId="0" applyBorder="1" applyFont="1"/>
    <xf borderId="2" fillId="6" fontId="1" numFmtId="0" xfId="0" applyBorder="1" applyFont="1"/>
    <xf borderId="106" fillId="6" fontId="1" numFmtId="0" xfId="0" applyAlignment="1" applyBorder="1" applyFont="1">
      <alignment horizontal="center"/>
    </xf>
    <xf borderId="107" fillId="0" fontId="2" numFmtId="0" xfId="0" applyBorder="1" applyFont="1"/>
    <xf borderId="108" fillId="0" fontId="2" numFmtId="0" xfId="0" applyBorder="1" applyFont="1"/>
    <xf borderId="31" fillId="6" fontId="1" numFmtId="0" xfId="0" applyBorder="1" applyFont="1"/>
    <xf borderId="21" fillId="6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/>
    </xf>
    <xf borderId="67" fillId="6" fontId="1" numFmtId="0" xfId="0" applyAlignment="1" applyBorder="1" applyFont="1">
      <alignment horizontal="center"/>
    </xf>
    <xf borderId="109" fillId="0" fontId="2" numFmtId="0" xfId="0" applyBorder="1" applyFont="1"/>
    <xf borderId="67" fillId="34" fontId="1" numFmtId="0" xfId="0" applyAlignment="1" applyBorder="1" applyFill="1" applyFont="1">
      <alignment horizontal="center"/>
    </xf>
    <xf borderId="67" fillId="35" fontId="1" numFmtId="0" xfId="0" applyAlignment="1" applyBorder="1" applyFill="1" applyFont="1">
      <alignment horizontal="center"/>
    </xf>
    <xf borderId="67" fillId="20" fontId="1" numFmtId="0" xfId="0" applyAlignment="1" applyBorder="1" applyFont="1">
      <alignment horizontal="center"/>
    </xf>
    <xf borderId="67" fillId="8" fontId="7" numFmtId="0" xfId="0" applyAlignment="1" applyBorder="1" applyFont="1">
      <alignment horizontal="center"/>
    </xf>
    <xf borderId="21" fillId="6" fontId="1" numFmtId="49" xfId="0" applyAlignment="1" applyBorder="1" applyFont="1" applyNumberFormat="1">
      <alignment horizontal="center"/>
    </xf>
    <xf borderId="21" fillId="4" fontId="1" numFmtId="0" xfId="0" applyAlignment="1" applyBorder="1" applyFont="1">
      <alignment horizontal="center"/>
    </xf>
    <xf borderId="21" fillId="4" fontId="1" numFmtId="49" xfId="0" applyAlignment="1" applyBorder="1" applyFont="1" applyNumberFormat="1">
      <alignment horizontal="center"/>
    </xf>
    <xf borderId="21" fillId="0" fontId="1" numFmtId="49" xfId="0" applyAlignment="1" applyBorder="1" applyFont="1" applyNumberFormat="1">
      <alignment horizontal="center"/>
    </xf>
    <xf borderId="21" fillId="0" fontId="1" numFmtId="164" xfId="0" applyBorder="1" applyFont="1" applyNumberFormat="1"/>
    <xf borderId="97" fillId="36" fontId="3" numFmtId="1" xfId="0" applyAlignment="1" applyBorder="1" applyFill="1" applyFont="1" applyNumberFormat="1">
      <alignment horizontal="center" vertical="center"/>
    </xf>
    <xf borderId="97" fillId="37" fontId="3" numFmtId="1" xfId="0" applyAlignment="1" applyBorder="1" applyFill="1" applyFont="1" applyNumberFormat="1">
      <alignment horizontal="center" vertical="center"/>
    </xf>
    <xf borderId="97" fillId="14" fontId="3" numFmtId="1" xfId="0" applyAlignment="1" applyBorder="1" applyFont="1" applyNumberFormat="1">
      <alignment horizontal="center" vertical="center"/>
    </xf>
    <xf borderId="97" fillId="16" fontId="3" numFmtId="1" xfId="0" applyAlignment="1" applyBorder="1" applyFont="1" applyNumberFormat="1">
      <alignment horizontal="center" vertical="center"/>
    </xf>
    <xf borderId="97" fillId="0" fontId="1" numFmtId="1" xfId="0" applyAlignment="1" applyBorder="1" applyFont="1" applyNumberFormat="1">
      <alignment horizontal="center" vertical="center"/>
    </xf>
    <xf borderId="56" fillId="0" fontId="1" numFmtId="0" xfId="0" applyBorder="1" applyFont="1"/>
    <xf borderId="21" fillId="19" fontId="1" numFmtId="0" xfId="0" applyAlignment="1" applyBorder="1" applyFont="1">
      <alignment horizontal="center"/>
    </xf>
    <xf borderId="67" fillId="6" fontId="1" numFmtId="0" xfId="0" applyAlignment="1" applyBorder="1" applyFont="1">
      <alignment horizontal="center" vertical="top"/>
    </xf>
    <xf borderId="95" fillId="0" fontId="2" numFmtId="0" xfId="0" applyBorder="1" applyFont="1"/>
    <xf borderId="21" fillId="0" fontId="1" numFmtId="169" xfId="0" applyBorder="1" applyFont="1" applyNumberFormat="1"/>
    <xf borderId="110" fillId="0" fontId="1" numFmtId="0" xfId="0" applyBorder="1" applyFont="1"/>
    <xf borderId="111" fillId="0" fontId="1" numFmtId="0" xfId="0" applyBorder="1" applyFont="1"/>
    <xf borderId="112" fillId="0" fontId="1" numFmtId="0" xfId="0" applyBorder="1" applyFont="1"/>
    <xf borderId="113" fillId="0" fontId="1" numFmtId="0" xfId="0" applyBorder="1" applyFont="1"/>
    <xf borderId="114" fillId="0" fontId="1" numFmtId="0" xfId="0" applyBorder="1" applyFont="1"/>
    <xf borderId="65" fillId="6" fontId="1" numFmtId="49" xfId="0" applyAlignment="1" applyBorder="1" applyFont="1" applyNumberFormat="1">
      <alignment horizontal="center"/>
    </xf>
    <xf borderId="113" fillId="0" fontId="1" numFmtId="0" xfId="0" applyAlignment="1" applyBorder="1" applyFont="1">
      <alignment horizontal="center"/>
    </xf>
    <xf borderId="97" fillId="0" fontId="1" numFmtId="173" xfId="0" applyAlignment="1" applyBorder="1" applyFont="1" applyNumberFormat="1">
      <alignment horizontal="center" vertical="center"/>
    </xf>
    <xf borderId="115" fillId="0" fontId="1" numFmtId="0" xfId="0" applyBorder="1" applyFont="1"/>
    <xf borderId="116" fillId="6" fontId="1" numFmtId="0" xfId="0" applyAlignment="1" applyBorder="1" applyFont="1">
      <alignment horizontal="center"/>
    </xf>
    <xf borderId="116" fillId="36" fontId="3" numFmtId="1" xfId="0" applyAlignment="1" applyBorder="1" applyFont="1" applyNumberFormat="1">
      <alignment horizontal="center" vertical="center"/>
    </xf>
    <xf borderId="116" fillId="37" fontId="3" numFmtId="1" xfId="0" applyAlignment="1" applyBorder="1" applyFont="1" applyNumberFormat="1">
      <alignment horizontal="center" vertical="center"/>
    </xf>
    <xf borderId="116" fillId="14" fontId="3" numFmtId="1" xfId="0" applyAlignment="1" applyBorder="1" applyFont="1" applyNumberFormat="1">
      <alignment horizontal="center" vertical="center"/>
    </xf>
    <xf borderId="116" fillId="16" fontId="3" numFmtId="1" xfId="0" applyAlignment="1" applyBorder="1" applyFont="1" applyNumberFormat="1">
      <alignment horizontal="center" vertical="center"/>
    </xf>
    <xf borderId="93" fillId="0" fontId="1" numFmtId="0" xfId="0" applyBorder="1" applyFont="1"/>
    <xf borderId="0" fillId="0" fontId="1" numFmtId="173" xfId="0" applyAlignment="1" applyFont="1" applyNumberFormat="1">
      <alignment horizontal="center" vertical="center"/>
    </xf>
    <xf borderId="21" fillId="6" fontId="3" numFmtId="49" xfId="0" applyAlignment="1" applyBorder="1" applyFont="1" applyNumberFormat="1">
      <alignment horizontal="left"/>
    </xf>
    <xf borderId="117" fillId="0" fontId="2" numFmtId="0" xfId="0" applyBorder="1" applyFont="1"/>
    <xf borderId="2" fillId="6" fontId="1" numFmtId="49" xfId="0" applyAlignment="1" applyBorder="1" applyFont="1" applyNumberFormat="1">
      <alignment horizontal="center"/>
    </xf>
    <xf borderId="2" fillId="6" fontId="3" numFmtId="49" xfId="0" applyAlignment="1" applyBorder="1" applyFont="1" applyNumberFormat="1">
      <alignment horizontal="left"/>
    </xf>
    <xf borderId="97" fillId="36" fontId="3" numFmtId="171" xfId="0" applyAlignment="1" applyBorder="1" applyFont="1" applyNumberFormat="1">
      <alignment horizontal="center" vertical="center"/>
    </xf>
    <xf borderId="97" fillId="19" fontId="3" numFmtId="173" xfId="0" applyAlignment="1" applyBorder="1" applyFont="1" applyNumberFormat="1">
      <alignment horizontal="center" vertical="center"/>
    </xf>
    <xf borderId="21" fillId="0" fontId="1" numFmtId="173" xfId="0" applyBorder="1" applyFont="1" applyNumberFormat="1"/>
    <xf borderId="97" fillId="4" fontId="47" numFmtId="173" xfId="0" applyAlignment="1" applyBorder="1" applyFont="1" applyNumberFormat="1">
      <alignment horizontal="center" vertical="center"/>
    </xf>
    <xf borderId="65" fillId="6" fontId="1" numFmtId="0" xfId="0" applyBorder="1" applyFont="1"/>
    <xf borderId="75" fillId="6" fontId="1" numFmtId="0" xfId="0" applyBorder="1" applyFont="1"/>
    <xf borderId="48" fillId="6" fontId="1" numFmtId="0" xfId="0" applyBorder="1" applyFont="1"/>
    <xf borderId="51" fillId="6" fontId="1" numFmtId="0" xfId="0" applyAlignment="1" applyBorder="1" applyFont="1">
      <alignment horizontal="center"/>
    </xf>
    <xf borderId="118" fillId="6" fontId="1" numFmtId="49" xfId="0" applyAlignment="1" applyBorder="1" applyFont="1" applyNumberFormat="1">
      <alignment horizontal="center" shrinkToFit="0" wrapText="1"/>
    </xf>
    <xf borderId="55" fillId="6" fontId="1" numFmtId="0" xfId="0" applyAlignment="1" applyBorder="1" applyFont="1">
      <alignment horizontal="center"/>
    </xf>
    <xf borderId="55" fillId="6" fontId="1" numFmtId="49" xfId="0" applyAlignment="1" applyBorder="1" applyFont="1" applyNumberFormat="1">
      <alignment horizontal="center"/>
    </xf>
    <xf borderId="64" fillId="0" fontId="2" numFmtId="0" xfId="0" applyBorder="1" applyFont="1"/>
    <xf borderId="97" fillId="4" fontId="47" numFmtId="1" xfId="0" applyAlignment="1" applyBorder="1" applyFont="1" applyNumberFormat="1">
      <alignment horizontal="center" vertical="center"/>
    </xf>
    <xf borderId="97" fillId="4" fontId="47" numFmtId="2" xfId="0" applyAlignment="1" applyBorder="1" applyFont="1" applyNumberFormat="1">
      <alignment horizontal="center" vertical="center"/>
    </xf>
    <xf borderId="56" fillId="0" fontId="1" numFmtId="164" xfId="0" applyBorder="1" applyFont="1" applyNumberFormat="1"/>
    <xf borderId="21" fillId="0" fontId="1" numFmtId="49" xfId="0" applyBorder="1" applyFont="1" applyNumberFormat="1"/>
    <xf borderId="119" fillId="6" fontId="1" numFmtId="0" xfId="0" applyAlignment="1" applyBorder="1" applyFont="1">
      <alignment horizontal="center"/>
    </xf>
    <xf borderId="55" fillId="4" fontId="1" numFmtId="0" xfId="0" applyAlignment="1" applyBorder="1" applyFont="1">
      <alignment horizontal="center"/>
    </xf>
    <xf borderId="21" fillId="23" fontId="10" numFmtId="167" xfId="0" applyBorder="1" applyFont="1" applyNumberFormat="1"/>
    <xf borderId="21" fillId="23" fontId="10" numFmtId="178" xfId="0" applyBorder="1" applyFont="1" applyNumberFormat="1"/>
    <xf borderId="21" fillId="19" fontId="1" numFmtId="178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center" vertical="center"/>
    </xf>
    <xf borderId="21" fillId="23" fontId="10" numFmtId="164" xfId="0" applyBorder="1" applyFont="1" applyNumberFormat="1"/>
    <xf borderId="120" fillId="0" fontId="1" numFmtId="164" xfId="0" applyBorder="1" applyFont="1" applyNumberFormat="1"/>
    <xf borderId="71" fillId="3" fontId="1" numFmtId="49" xfId="0" applyAlignment="1" applyBorder="1" applyFont="1" applyNumberFormat="1">
      <alignment horizontal="center" vertical="center"/>
    </xf>
    <xf borderId="21" fillId="0" fontId="1" numFmtId="179" xfId="0" applyBorder="1" applyFont="1" applyNumberFormat="1"/>
    <xf borderId="21" fillId="0" fontId="1" numFmtId="0" xfId="0" applyAlignment="1" applyBorder="1" applyFont="1">
      <alignment horizontal="left"/>
    </xf>
    <xf borderId="0" fillId="0" fontId="1" numFmtId="167" xfId="0" applyFont="1" applyNumberFormat="1"/>
    <xf borderId="106" fillId="6" fontId="1" numFmtId="0" xfId="0" applyAlignment="1" applyBorder="1" applyFont="1">
      <alignment horizontal="center" vertical="top"/>
    </xf>
    <xf borderId="21" fillId="9" fontId="8" numFmtId="2" xfId="0" applyBorder="1" applyFont="1" applyNumberFormat="1"/>
    <xf borderId="45" fillId="29" fontId="48" numFmtId="0" xfId="0" applyAlignment="1" applyBorder="1" applyFont="1">
      <alignment horizontal="center"/>
    </xf>
    <xf borderId="43" fillId="29" fontId="48" numFmtId="0" xfId="0" applyAlignment="1" applyBorder="1" applyFont="1">
      <alignment vertical="center"/>
    </xf>
    <xf borderId="2" fillId="29" fontId="48" numFmtId="0" xfId="0" applyAlignment="1" applyBorder="1" applyFont="1">
      <alignment horizontal="center"/>
    </xf>
    <xf borderId="83" fillId="29" fontId="48" numFmtId="0" xfId="0" applyAlignment="1" applyBorder="1" applyFont="1">
      <alignment horizontal="center"/>
    </xf>
    <xf borderId="121" fillId="29" fontId="48" numFmtId="49" xfId="0" applyAlignment="1" applyBorder="1" applyFont="1" applyNumberFormat="1">
      <alignment horizontal="center"/>
    </xf>
    <xf borderId="121" fillId="29" fontId="48" numFmtId="0" xfId="0" applyAlignment="1" applyBorder="1" applyFont="1">
      <alignment horizontal="center"/>
    </xf>
    <xf borderId="122" fillId="0" fontId="1" numFmtId="0" xfId="0" applyAlignment="1" applyBorder="1" applyFont="1">
      <alignment horizontal="center" vertical="center"/>
    </xf>
    <xf borderId="123" fillId="29" fontId="48" numFmtId="0" xfId="0" applyAlignment="1" applyBorder="1" applyFont="1">
      <alignment horizontal="center" vertical="center"/>
    </xf>
    <xf borderId="124" fillId="33" fontId="48" numFmtId="0" xfId="0" applyAlignment="1" applyBorder="1" applyFont="1">
      <alignment horizontal="center"/>
    </xf>
    <xf borderId="124" fillId="33" fontId="1" numFmtId="1" xfId="0" applyBorder="1" applyFont="1" applyNumberFormat="1"/>
    <xf borderId="124" fillId="33" fontId="1" numFmtId="0" xfId="0" applyBorder="1" applyFont="1"/>
    <xf borderId="77" fillId="29" fontId="48" numFmtId="0" xfId="0" applyAlignment="1" applyBorder="1" applyFont="1">
      <alignment horizontal="center" vertical="center"/>
    </xf>
    <xf borderId="47" fillId="8" fontId="7" numFmtId="0" xfId="0" applyAlignment="1" applyBorder="1" applyFont="1">
      <alignment horizontal="center"/>
    </xf>
    <xf borderId="77" fillId="8" fontId="7" numFmtId="1" xfId="0" applyBorder="1" applyFont="1" applyNumberFormat="1"/>
    <xf borderId="125" fillId="8" fontId="7" numFmtId="0" xfId="0" applyBorder="1" applyFont="1"/>
    <xf borderId="126" fillId="8" fontId="7" numFmtId="0" xfId="0" applyBorder="1" applyFont="1"/>
    <xf borderId="52" fillId="29" fontId="48" numFmtId="0" xfId="0" applyAlignment="1" applyBorder="1" applyFont="1">
      <alignment horizontal="center"/>
    </xf>
    <xf borderId="21" fillId="14" fontId="1" numFmtId="166" xfId="0" applyBorder="1" applyFont="1" applyNumberFormat="1"/>
    <xf borderId="78" fillId="29" fontId="48" numFmtId="0" xfId="0" applyAlignment="1" applyBorder="1" applyFont="1">
      <alignment horizontal="center" vertical="center"/>
    </xf>
    <xf borderId="10" fillId="29" fontId="48" numFmtId="0" xfId="0" applyAlignment="1" applyBorder="1" applyFont="1">
      <alignment horizontal="center"/>
    </xf>
    <xf borderId="49" fillId="29" fontId="48" numFmtId="0" xfId="0" applyAlignment="1" applyBorder="1" applyFont="1">
      <alignment horizontal="center"/>
    </xf>
    <xf borderId="21" fillId="11" fontId="1" numFmtId="166" xfId="0" applyBorder="1" applyFont="1" applyNumberFormat="1"/>
    <xf borderId="127" fillId="29" fontId="48" numFmtId="0" xfId="0" applyAlignment="1" applyBorder="1" applyFont="1">
      <alignment horizontal="center"/>
    </xf>
    <xf borderId="6" fillId="29" fontId="48" numFmtId="0" xfId="0" applyAlignment="1" applyBorder="1" applyFont="1">
      <alignment horizontal="center"/>
    </xf>
    <xf borderId="87" fillId="8" fontId="7" numFmtId="1" xfId="0" applyBorder="1" applyFont="1" applyNumberFormat="1"/>
    <xf borderId="128" fillId="5" fontId="10" numFmtId="0" xfId="0" applyBorder="1" applyFont="1"/>
    <xf borderId="129" fillId="5" fontId="10" numFmtId="0" xfId="0" applyBorder="1" applyFont="1"/>
    <xf borderId="19" fillId="29" fontId="48" numFmtId="0" xfId="0" applyAlignment="1" applyBorder="1" applyFont="1">
      <alignment horizontal="center"/>
    </xf>
    <xf borderId="130" fillId="5" fontId="10" numFmtId="0" xfId="0" applyBorder="1" applyFont="1"/>
    <xf borderId="131" fillId="5" fontId="10" numFmtId="0" xfId="0" applyBorder="1" applyFont="1"/>
    <xf borderId="13" fillId="29" fontId="48" numFmtId="0" xfId="0" applyAlignment="1" applyBorder="1" applyFont="1">
      <alignment horizontal="center"/>
    </xf>
    <xf borderId="132" fillId="5" fontId="10" numFmtId="0" xfId="0" applyBorder="1" applyFont="1"/>
    <xf borderId="133" fillId="5" fontId="10" numFmtId="0" xfId="0" applyBorder="1" applyFont="1"/>
    <xf borderId="47" fillId="29" fontId="48" numFmtId="0" xfId="0" applyAlignment="1" applyBorder="1" applyFont="1">
      <alignment horizontal="center"/>
    </xf>
    <xf borderId="1" fillId="0" fontId="1" numFmtId="0" xfId="0" applyBorder="1" applyFont="1"/>
    <xf borderId="0" fillId="0" fontId="1" numFmtId="180" xfId="0" applyFont="1" applyNumberFormat="1"/>
    <xf borderId="114" fillId="0" fontId="1" numFmtId="0" xfId="0" applyAlignment="1" applyBorder="1" applyFont="1">
      <alignment horizontal="center" vertical="center"/>
    </xf>
    <xf borderId="2" fillId="19" fontId="1" numFmtId="0" xfId="0" applyAlignment="1" applyBorder="1" applyFont="1">
      <alignment horizontal="center" vertical="center"/>
    </xf>
    <xf borderId="2" fillId="19" fontId="48" numFmtId="0" xfId="0" applyAlignment="1" applyBorder="1" applyFont="1">
      <alignment horizontal="center" vertical="center"/>
    </xf>
    <xf borderId="2" fillId="19" fontId="48" numFmtId="0" xfId="0" applyAlignment="1" applyBorder="1" applyFont="1">
      <alignment horizontal="center"/>
    </xf>
    <xf borderId="2" fillId="19" fontId="1" numFmtId="166" xfId="0" applyBorder="1" applyFont="1" applyNumberFormat="1"/>
    <xf borderId="2" fillId="19" fontId="7" numFmtId="0" xfId="0" applyBorder="1" applyFont="1"/>
    <xf borderId="2" fillId="19" fontId="1" numFmtId="1" xfId="0" applyBorder="1" applyFont="1" applyNumberFormat="1"/>
    <xf borderId="2" fillId="19" fontId="34" numFmtId="0" xfId="0" applyBorder="1" applyFont="1"/>
    <xf borderId="78" fillId="29" fontId="48" numFmtId="0" xfId="0" applyAlignment="1" applyBorder="1" applyFont="1">
      <alignment horizontal="center"/>
    </xf>
    <xf borderId="134" fillId="29" fontId="48" numFmtId="0" xfId="0" applyAlignment="1" applyBorder="1" applyFont="1">
      <alignment vertical="center"/>
    </xf>
    <xf borderId="2" fillId="29" fontId="48" numFmtId="0" xfId="0" applyAlignment="1" applyBorder="1" applyFont="1">
      <alignment horizontal="center" vertical="center"/>
    </xf>
    <xf borderId="2" fillId="11" fontId="1" numFmtId="166" xfId="0" applyBorder="1" applyFont="1" applyNumberFormat="1"/>
    <xf borderId="135" fillId="29" fontId="48" numFmtId="0" xfId="0" applyAlignment="1" applyBorder="1" applyFont="1">
      <alignment horizontal="center" vertical="center"/>
    </xf>
    <xf borderId="4" fillId="0" fontId="1" numFmtId="1" xfId="0" applyBorder="1" applyFont="1" applyNumberFormat="1"/>
    <xf borderId="114" fillId="0" fontId="2" numFmtId="0" xfId="0" applyBorder="1" applyFont="1"/>
    <xf borderId="136" fillId="0" fontId="2" numFmtId="0" xfId="0" applyBorder="1" applyFont="1"/>
    <xf borderId="16" fillId="0" fontId="1" numFmtId="1" xfId="0" applyBorder="1" applyFont="1" applyNumberFormat="1"/>
    <xf borderId="137" fillId="0" fontId="2" numFmtId="0" xfId="0" applyBorder="1" applyFont="1"/>
    <xf borderId="59" fillId="0" fontId="1" numFmtId="1" xfId="0" applyBorder="1" applyFont="1" applyNumberFormat="1"/>
    <xf borderId="4" fillId="0" fontId="1" numFmtId="0" xfId="0" applyBorder="1" applyFont="1"/>
    <xf borderId="6" fillId="0" fontId="1" numFmtId="0" xfId="0" applyBorder="1" applyFont="1"/>
    <xf borderId="16" fillId="0" fontId="1" numFmtId="0" xfId="0" applyBorder="1" applyFont="1"/>
    <xf borderId="19" fillId="0" fontId="1" numFmtId="0" xfId="0" applyBorder="1" applyFont="1"/>
    <xf borderId="59" fillId="0" fontId="1" numFmtId="0" xfId="0" applyBorder="1" applyFont="1"/>
    <xf borderId="13" fillId="0" fontId="1" numFmtId="0" xfId="0" applyBorder="1" applyFont="1"/>
    <xf borderId="43" fillId="0" fontId="1" numFmtId="0" xfId="0" applyBorder="1" applyFont="1"/>
    <xf borderId="21" fillId="0" fontId="1" numFmtId="166" xfId="0" applyBorder="1" applyFont="1" applyNumberFormat="1"/>
    <xf borderId="21" fillId="19" fontId="1" numFmtId="166" xfId="0" applyBorder="1" applyFont="1" applyNumberFormat="1"/>
    <xf borderId="2" fillId="38" fontId="49" numFmtId="0" xfId="0" applyAlignment="1" applyBorder="1" applyFill="1" applyFont="1">
      <alignment horizontal="center" shrinkToFit="0" vertical="center" wrapText="1"/>
    </xf>
    <xf borderId="0" fillId="0" fontId="50" numFmtId="0" xfId="0" applyAlignment="1" applyFont="1">
      <alignment shrinkToFit="0" vertical="center" wrapText="1"/>
    </xf>
    <xf borderId="7" fillId="38" fontId="4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2" fillId="33" fontId="51" numFmtId="0" xfId="0" applyAlignment="1" applyBorder="1" applyFont="1">
      <alignment horizontal="center" shrinkToFit="0" vertical="center" wrapText="1"/>
    </xf>
    <xf borderId="2" fillId="33" fontId="51" numFmtId="0" xfId="0" applyAlignment="1" applyBorder="1" applyFont="1">
      <alignment horizontal="right" shrinkToFit="0" vertical="center" wrapText="1"/>
    </xf>
    <xf borderId="2" fillId="33" fontId="52" numFmtId="0" xfId="0" applyAlignment="1" applyBorder="1" applyFont="1">
      <alignment horizontal="right" shrinkToFit="0" vertical="center" wrapText="1"/>
    </xf>
    <xf borderId="0" fillId="0" fontId="52" numFmtId="0" xfId="0" applyAlignment="1" applyFont="1">
      <alignment horizontal="center" shrinkToFit="0" vertical="center" wrapText="1"/>
    </xf>
    <xf borderId="2" fillId="6" fontId="1" numFmtId="2" xfId="0" applyBorder="1" applyFont="1" applyNumberFormat="1"/>
    <xf borderId="0" fillId="0" fontId="53" numFmtId="0" xfId="0" applyFont="1"/>
    <xf borderId="0" fillId="0" fontId="54" numFmtId="0" xfId="0" applyFont="1"/>
    <xf borderId="2" fillId="29" fontId="1" numFmtId="0" xfId="0" applyBorder="1" applyFont="1"/>
    <xf borderId="67" fillId="0" fontId="54" numFmtId="0" xfId="0" applyBorder="1" applyFont="1"/>
    <xf borderId="50" fillId="0" fontId="54" numFmtId="0" xfId="0" applyBorder="1" applyFont="1"/>
    <xf borderId="0" fillId="0" fontId="52" numFmtId="0" xfId="0" applyFont="1"/>
    <xf borderId="77" fillId="29" fontId="1" numFmtId="0" xfId="0" applyAlignment="1" applyBorder="1" applyFont="1">
      <alignment vertical="center"/>
    </xf>
    <xf borderId="2" fillId="29" fontId="1" numFmtId="0" xfId="0" applyAlignment="1" applyBorder="1" applyFont="1">
      <alignment vertical="center"/>
    </xf>
    <xf borderId="2" fillId="29" fontId="1" numFmtId="0" xfId="0" applyAlignment="1" applyBorder="1" applyFont="1">
      <alignment horizontal="center" vertical="center"/>
    </xf>
    <xf borderId="30" fillId="29" fontId="1" numFmtId="0" xfId="0" applyAlignment="1" applyBorder="1" applyFont="1">
      <alignment horizontal="center" vertical="center"/>
    </xf>
    <xf borderId="65" fillId="29" fontId="1" numFmtId="0" xfId="0" applyBorder="1" applyFont="1"/>
    <xf borderId="75" fillId="29" fontId="1" numFmtId="0" xfId="0" applyBorder="1" applyFont="1"/>
    <xf borderId="21" fillId="29" fontId="1" numFmtId="0" xfId="0" applyAlignment="1" applyBorder="1" applyFont="1">
      <alignment horizontal="center" vertical="center"/>
    </xf>
    <xf borderId="21" fillId="29" fontId="1" numFmtId="0" xfId="0" applyAlignment="1" applyBorder="1" applyFont="1">
      <alignment horizontal="center"/>
    </xf>
    <xf borderId="21" fillId="29" fontId="1" numFmtId="0" xfId="0" applyBorder="1" applyFont="1"/>
    <xf borderId="21" fillId="23" fontId="10" numFmtId="2" xfId="0" applyBorder="1" applyFont="1" applyNumberFormat="1"/>
    <xf borderId="97" fillId="10" fontId="9" numFmtId="0" xfId="0" applyAlignment="1" applyBorder="1" applyFont="1">
      <alignment horizontal="center"/>
    </xf>
    <xf borderId="97" fillId="10" fontId="9" numFmtId="0" xfId="0" applyAlignment="1" applyBorder="1" applyFont="1">
      <alignment horizontal="center" vertical="center"/>
    </xf>
    <xf borderId="0" fillId="0" fontId="1" numFmtId="173" xfId="0" applyFont="1" applyNumberFormat="1"/>
    <xf borderId="21" fillId="37" fontId="1" numFmtId="181" xfId="0" applyBorder="1" applyFont="1" applyNumberFormat="1"/>
    <xf borderId="21" fillId="16" fontId="1" numFmtId="181" xfId="0" applyBorder="1" applyFont="1" applyNumberFormat="1"/>
    <xf borderId="21" fillId="14" fontId="1" numFmtId="181" xfId="0" applyBorder="1" applyFont="1" applyNumberFormat="1"/>
    <xf borderId="21" fillId="29" fontId="55" numFmtId="0" xfId="0" applyAlignment="1" applyBorder="1" applyFont="1">
      <alignment horizontal="center"/>
    </xf>
    <xf borderId="98" fillId="0" fontId="1" numFmtId="0" xfId="0" applyAlignment="1" applyBorder="1" applyFont="1">
      <alignment horizontal="center" vertical="center"/>
    </xf>
    <xf borderId="61" fillId="0" fontId="1" numFmtId="0" xfId="0" applyBorder="1" applyFont="1"/>
    <xf borderId="100" fillId="0" fontId="1" numFmtId="0" xfId="0" applyBorder="1" applyFont="1"/>
    <xf borderId="100" fillId="0" fontId="1" numFmtId="0" xfId="0" applyAlignment="1" applyBorder="1" applyFont="1">
      <alignment horizontal="center" vertical="center"/>
    </xf>
    <xf borderId="101" fillId="0" fontId="1" numFmtId="0" xfId="0" applyAlignment="1" applyBorder="1" applyFont="1">
      <alignment horizontal="center" vertical="center"/>
    </xf>
    <xf borderId="124" fillId="33" fontId="1" numFmtId="169" xfId="0" applyBorder="1" applyFont="1" applyNumberFormat="1"/>
    <xf borderId="124" fillId="33" fontId="1" numFmtId="182" xfId="0" applyBorder="1" applyFont="1" applyNumberFormat="1"/>
    <xf borderId="0" fillId="0" fontId="1" numFmtId="182" xfId="0" applyFont="1" applyNumberFormat="1"/>
    <xf borderId="43" fillId="14" fontId="1" numFmtId="1" xfId="0" applyBorder="1" applyFont="1" applyNumberFormat="1"/>
    <xf borderId="2" fillId="14" fontId="1" numFmtId="1" xfId="0" applyBorder="1" applyFont="1" applyNumberFormat="1"/>
    <xf borderId="124" fillId="33" fontId="1" numFmtId="2" xfId="0" applyBorder="1" applyFont="1" applyNumberFormat="1"/>
    <xf borderId="2" fillId="33" fontId="1" numFmtId="0" xfId="0" applyBorder="1" applyFont="1"/>
    <xf borderId="21" fillId="39" fontId="10" numFmtId="0" xfId="0" applyBorder="1" applyFill="1" applyFont="1"/>
    <xf borderId="138" fillId="0" fontId="1" numFmtId="0" xfId="0" applyAlignment="1" applyBorder="1" applyFont="1">
      <alignment horizontal="center"/>
    </xf>
    <xf borderId="139" fillId="0" fontId="2" numFmtId="0" xfId="0" applyBorder="1" applyFont="1"/>
    <xf borderId="82" fillId="0" fontId="1" numFmtId="0" xfId="0" applyAlignment="1" applyBorder="1" applyFont="1">
      <alignment horizontal="center"/>
    </xf>
    <xf borderId="110" fillId="0" fontId="1" numFmtId="0" xfId="0" applyAlignment="1" applyBorder="1" applyFont="1">
      <alignment horizontal="center" vertical="center"/>
    </xf>
    <xf borderId="111" fillId="0" fontId="2" numFmtId="0" xfId="0" applyBorder="1" applyFont="1"/>
    <xf borderId="112" fillId="0" fontId="2" numFmtId="0" xfId="0" applyBorder="1" applyFont="1"/>
    <xf borderId="120" fillId="0" fontId="1" numFmtId="0" xfId="0" applyBorder="1" applyFont="1"/>
    <xf borderId="113" fillId="0" fontId="1" numFmtId="0" xfId="0" applyAlignment="1" applyBorder="1" applyFont="1">
      <alignment horizontal="center" vertical="center"/>
    </xf>
    <xf borderId="77" fillId="17" fontId="1" numFmtId="0" xfId="0" applyBorder="1" applyFont="1"/>
    <xf borderId="126" fillId="17" fontId="1" numFmtId="0" xfId="0" applyBorder="1" applyFont="1"/>
    <xf borderId="113" fillId="0" fontId="1" numFmtId="0" xfId="0" applyAlignment="1" applyBorder="1" applyFont="1">
      <alignment horizontal="left"/>
    </xf>
    <xf borderId="114" fillId="0" fontId="1" numFmtId="0" xfId="0" applyAlignment="1" applyBorder="1" applyFont="1">
      <alignment horizontal="left"/>
    </xf>
    <xf borderId="114" fillId="0" fontId="1" numFmtId="0" xfId="0" applyAlignment="1" applyBorder="1" applyFont="1">
      <alignment horizontal="center"/>
    </xf>
    <xf borderId="113" fillId="0" fontId="1" numFmtId="164" xfId="0" applyAlignment="1" applyBorder="1" applyFont="1" applyNumberFormat="1">
      <alignment horizontal="center"/>
    </xf>
    <xf borderId="114" fillId="0" fontId="1" numFmtId="164" xfId="0" applyAlignment="1" applyBorder="1" applyFont="1" applyNumberFormat="1">
      <alignment horizontal="center"/>
    </xf>
    <xf borderId="62" fillId="6" fontId="1" numFmtId="0" xfId="0" applyBorder="1" applyFont="1"/>
    <xf borderId="84" fillId="6" fontId="1" numFmtId="0" xfId="0" applyBorder="1" applyFont="1"/>
    <xf borderId="77" fillId="6" fontId="1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126" fillId="6" fontId="1" numFmtId="0" xfId="0" applyAlignment="1" applyBorder="1" applyFont="1">
      <alignment horizontal="center" vertical="center"/>
    </xf>
    <xf borderId="77" fillId="6" fontId="1" numFmtId="0" xfId="0" applyBorder="1" applyFont="1"/>
    <xf borderId="126" fillId="6" fontId="1" numFmtId="0" xfId="0" applyBorder="1" applyFont="1"/>
    <xf borderId="0" fillId="0" fontId="1" numFmtId="164" xfId="0" applyAlignment="1" applyFont="1" applyNumberFormat="1">
      <alignment horizontal="center"/>
    </xf>
    <xf borderId="77" fillId="17" fontId="1" numFmtId="0" xfId="0" applyAlignment="1" applyBorder="1" applyFont="1">
      <alignment horizontal="center" vertical="center"/>
    </xf>
    <xf borderId="2" fillId="17" fontId="1" numFmtId="0" xfId="0" applyAlignment="1" applyBorder="1" applyFont="1">
      <alignment horizontal="center" vertical="center"/>
    </xf>
    <xf borderId="126" fillId="17" fontId="1" numFmtId="0" xfId="0" applyAlignment="1" applyBorder="1" applyFont="1">
      <alignment horizontal="center" vertical="center"/>
    </xf>
    <xf borderId="113" fillId="0" fontId="1" numFmtId="178" xfId="0" applyAlignment="1" applyBorder="1" applyFont="1" applyNumberFormat="1">
      <alignment horizontal="center" vertical="center"/>
    </xf>
    <xf borderId="0" fillId="0" fontId="1" numFmtId="178" xfId="0" applyAlignment="1" applyFont="1" applyNumberFormat="1">
      <alignment horizontal="center" vertical="center"/>
    </xf>
    <xf borderId="77" fillId="6" fontId="1" numFmtId="167" xfId="0" applyAlignment="1" applyBorder="1" applyFont="1" applyNumberFormat="1">
      <alignment horizontal="center" vertical="center"/>
    </xf>
    <xf borderId="2" fillId="6" fontId="1" numFmtId="167" xfId="0" applyAlignment="1" applyBorder="1" applyFont="1" applyNumberFormat="1">
      <alignment horizontal="center" vertical="center"/>
    </xf>
    <xf borderId="82" fillId="0" fontId="1" numFmtId="0" xfId="0" applyAlignment="1" applyBorder="1" applyFont="1">
      <alignment horizontal="center" vertical="center"/>
    </xf>
    <xf borderId="120" fillId="0" fontId="1" numFmtId="0" xfId="0" applyAlignment="1" applyBorder="1" applyFont="1">
      <alignment horizontal="center" vertical="center"/>
    </xf>
    <xf borderId="62" fillId="17" fontId="1" numFmtId="0" xfId="0" applyAlignment="1" applyBorder="1" applyFont="1">
      <alignment horizontal="center" vertical="center"/>
    </xf>
    <xf borderId="84" fillId="17" fontId="1" numFmtId="0" xfId="0" applyAlignment="1" applyBorder="1" applyFont="1">
      <alignment horizontal="center" vertical="center"/>
    </xf>
    <xf borderId="77" fillId="8" fontId="7" numFmtId="0" xfId="0" applyAlignment="1" applyBorder="1" applyFont="1">
      <alignment horizontal="center" vertical="center"/>
    </xf>
    <xf borderId="126" fillId="8" fontId="7" numFmtId="0" xfId="0" applyAlignment="1" applyBorder="1" applyFont="1">
      <alignment horizontal="center" vertical="center"/>
    </xf>
    <xf borderId="82" fillId="0" fontId="1" numFmtId="167" xfId="0" applyAlignment="1" applyBorder="1" applyFont="1" applyNumberFormat="1">
      <alignment horizontal="center" vertical="center"/>
    </xf>
    <xf borderId="113" fillId="0" fontId="1" numFmtId="167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114" fillId="0" fontId="1" numFmtId="164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21" fillId="0" fontId="1" numFmtId="167" xfId="0" applyAlignment="1" applyBorder="1" applyFont="1" applyNumberFormat="1">
      <alignment horizontal="center" vertical="center"/>
    </xf>
    <xf borderId="7" fillId="37" fontId="1" numFmtId="0" xfId="0" applyAlignment="1" applyBorder="1" applyFont="1">
      <alignment horizontal="center" vertical="center"/>
    </xf>
    <xf borderId="7" fillId="28" fontId="1" numFmtId="0" xfId="0" applyAlignment="1" applyBorder="1" applyFont="1">
      <alignment horizontal="center" vertical="center"/>
    </xf>
    <xf borderId="7" fillId="16" fontId="1" numFmtId="0" xfId="0" applyAlignment="1" applyBorder="1" applyFont="1">
      <alignment horizontal="center" vertical="center"/>
    </xf>
    <xf borderId="7" fillId="14" fontId="1" numFmtId="0" xfId="0" applyAlignment="1" applyBorder="1" applyFont="1">
      <alignment horizontal="center" vertical="center"/>
    </xf>
    <xf borderId="31" fillId="6" fontId="1" numFmtId="0" xfId="0" applyAlignment="1" applyBorder="1" applyFont="1">
      <alignment horizontal="center"/>
    </xf>
    <xf borderId="140" fillId="6" fontId="1" numFmtId="0" xfId="0" applyAlignment="1" applyBorder="1" applyFont="1">
      <alignment horizontal="center" vertical="top"/>
    </xf>
    <xf borderId="2" fillId="37" fontId="1" numFmtId="0" xfId="0" applyAlignment="1" applyBorder="1" applyFont="1">
      <alignment horizontal="center" vertical="center"/>
    </xf>
    <xf borderId="2" fillId="28" fontId="1" numFmtId="0" xfId="0" applyAlignment="1" applyBorder="1" applyFont="1">
      <alignment horizontal="center" vertical="center"/>
    </xf>
    <xf borderId="2" fillId="16" fontId="1" numFmtId="0" xfId="0" applyAlignment="1" applyBorder="1" applyFont="1">
      <alignment horizontal="center" vertical="center"/>
    </xf>
    <xf borderId="2" fillId="14" fontId="1" numFmtId="0" xfId="0" applyAlignment="1" applyBorder="1" applyFont="1">
      <alignment horizontal="center" vertical="center"/>
    </xf>
    <xf borderId="141" fillId="6" fontId="1" numFmtId="0" xfId="0" applyAlignment="1" applyBorder="1" applyFont="1">
      <alignment horizontal="center"/>
    </xf>
    <xf borderId="2" fillId="37" fontId="1" numFmtId="1" xfId="0" applyAlignment="1" applyBorder="1" applyFont="1" applyNumberFormat="1">
      <alignment horizontal="center" vertical="center"/>
    </xf>
    <xf borderId="2" fillId="28" fontId="1" numFmtId="1" xfId="0" applyAlignment="1" applyBorder="1" applyFont="1" applyNumberFormat="1">
      <alignment horizontal="center" vertical="center"/>
    </xf>
    <xf borderId="2" fillId="16" fontId="1" numFmtId="1" xfId="0" applyAlignment="1" applyBorder="1" applyFont="1" applyNumberFormat="1">
      <alignment horizontal="center" vertical="center"/>
    </xf>
    <xf borderId="2" fillId="14" fontId="1" numFmtId="1" xfId="0" applyAlignment="1" applyBorder="1" applyFont="1" applyNumberFormat="1">
      <alignment horizontal="center" vertical="center"/>
    </xf>
    <xf borderId="86" fillId="6" fontId="1" numFmtId="0" xfId="0" applyAlignment="1" applyBorder="1" applyFont="1">
      <alignment horizontal="center"/>
    </xf>
    <xf borderId="30" fillId="6" fontId="1" numFmtId="49" xfId="0" applyAlignment="1" applyBorder="1" applyFont="1" applyNumberFormat="1">
      <alignment horizontal="center"/>
    </xf>
    <xf borderId="34" fillId="6" fontId="1" numFmtId="49" xfId="0" applyAlignment="1" applyBorder="1" applyFont="1" applyNumberFormat="1">
      <alignment horizontal="center"/>
    </xf>
    <xf borderId="86" fillId="6" fontId="1" numFmtId="49" xfId="0" applyAlignment="1" applyBorder="1" applyFont="1" applyNumberFormat="1">
      <alignment horizontal="center"/>
    </xf>
    <xf borderId="75" fillId="6" fontId="1" numFmtId="49" xfId="0" applyAlignment="1" applyBorder="1" applyFont="1" applyNumberFormat="1">
      <alignment horizontal="center"/>
    </xf>
    <xf borderId="142" fillId="0" fontId="1" numFmtId="1" xfId="0" applyAlignment="1" applyBorder="1" applyFont="1" applyNumberFormat="1">
      <alignment horizontal="center" vertical="center"/>
    </xf>
    <xf borderId="143" fillId="0" fontId="1" numFmtId="1" xfId="0" applyAlignment="1" applyBorder="1" applyFont="1" applyNumberFormat="1">
      <alignment horizontal="center" vertical="center"/>
    </xf>
    <xf borderId="37" fillId="0" fontId="1" numFmtId="1" xfId="0" applyAlignment="1" applyBorder="1" applyFont="1" applyNumberFormat="1">
      <alignment horizontal="center" vertical="center"/>
    </xf>
    <xf borderId="2" fillId="37" fontId="1" numFmtId="1" xfId="0" applyBorder="1" applyFont="1" applyNumberFormat="1"/>
    <xf borderId="2" fillId="28" fontId="1" numFmtId="1" xfId="0" applyBorder="1" applyFont="1" applyNumberFormat="1"/>
    <xf borderId="2" fillId="16" fontId="1" numFmtId="1" xfId="0" applyBorder="1" applyFont="1" applyNumberFormat="1"/>
    <xf borderId="2" fillId="14" fontId="1" numFmtId="0" xfId="0" applyBorder="1" applyFont="1"/>
    <xf borderId="144" fillId="0" fontId="1" numFmtId="1" xfId="0" applyAlignment="1" applyBorder="1" applyFont="1" applyNumberFormat="1">
      <alignment horizontal="center" vertical="center"/>
    </xf>
    <xf borderId="145" fillId="0" fontId="1" numFmtId="1" xfId="0" applyAlignment="1" applyBorder="1" applyFont="1" applyNumberFormat="1">
      <alignment horizontal="center" vertical="center"/>
    </xf>
    <xf borderId="146" fillId="0" fontId="1" numFmtId="1" xfId="0" applyAlignment="1" applyBorder="1" applyFont="1" applyNumberFormat="1">
      <alignment horizontal="center" vertical="center"/>
    </xf>
    <xf borderId="2" fillId="37" fontId="1" numFmtId="0" xfId="0" applyAlignment="1" applyBorder="1" applyFont="1">
      <alignment horizontal="center"/>
    </xf>
    <xf borderId="2" fillId="28" fontId="1" numFmtId="0" xfId="0" applyAlignment="1" applyBorder="1" applyFont="1">
      <alignment horizontal="center"/>
    </xf>
    <xf borderId="2" fillId="16" fontId="1" numFmtId="0" xfId="0" applyAlignment="1" applyBorder="1" applyFont="1">
      <alignment horizontal="center"/>
    </xf>
    <xf borderId="2" fillId="14" fontId="1" numFmtId="0" xfId="0" applyAlignment="1" applyBorder="1" applyFont="1">
      <alignment horizontal="center"/>
    </xf>
    <xf borderId="2" fillId="37" fontId="1" numFmtId="0" xfId="0" applyAlignment="1" applyBorder="1" applyFont="1">
      <alignment horizontal="left"/>
    </xf>
    <xf borderId="2" fillId="37" fontId="1" numFmtId="0" xfId="0" applyBorder="1" applyFont="1"/>
    <xf borderId="2" fillId="28" fontId="1" numFmtId="0" xfId="0" applyBorder="1" applyFont="1"/>
    <xf borderId="2" fillId="37" fontId="1" numFmtId="1" xfId="0" applyAlignment="1" applyBorder="1" applyFont="1" applyNumberFormat="1">
      <alignment horizontal="center"/>
    </xf>
    <xf borderId="2" fillId="28" fontId="1" numFmtId="1" xfId="0" applyAlignment="1" applyBorder="1" applyFont="1" applyNumberFormat="1">
      <alignment horizontal="center"/>
    </xf>
    <xf borderId="2" fillId="16" fontId="1" numFmtId="1" xfId="0" applyAlignment="1" applyBorder="1" applyFont="1" applyNumberFormat="1">
      <alignment horizontal="center"/>
    </xf>
    <xf borderId="2" fillId="14" fontId="1" numFmtId="1" xfId="0" applyAlignment="1" applyBorder="1" applyFont="1" applyNumberFormat="1">
      <alignment horizontal="center"/>
    </xf>
    <xf borderId="65" fillId="6" fontId="1" numFmtId="0" xfId="0" applyAlignment="1" applyBorder="1" applyFont="1">
      <alignment horizontal="center" shrinkToFit="0" wrapText="1"/>
    </xf>
    <xf borderId="21" fillId="6" fontId="1" numFmtId="0" xfId="0" applyAlignment="1" applyBorder="1" applyFont="1">
      <alignment horizontal="center" shrinkToFit="0" wrapText="1"/>
    </xf>
    <xf borderId="21" fillId="0" fontId="1" numFmtId="171" xfId="0" applyAlignment="1" applyBorder="1" applyFont="1" applyNumberFormat="1">
      <alignment horizontal="center" vertical="center"/>
    </xf>
    <xf borderId="6" fillId="3" fontId="3" numFmtId="0" xfId="0" applyAlignment="1" applyBorder="1" applyFont="1">
      <alignment horizontal="center" vertical="center"/>
    </xf>
    <xf borderId="147" fillId="3" fontId="1" numFmtId="0" xfId="0" applyAlignment="1" applyBorder="1" applyFont="1">
      <alignment horizontal="center" vertical="center"/>
    </xf>
    <xf borderId="148" fillId="0" fontId="2" numFmtId="0" xfId="0" applyBorder="1" applyFont="1"/>
    <xf borderId="149" fillId="0" fontId="2" numFmtId="0" xfId="0" applyBorder="1" applyFont="1"/>
    <xf borderId="150" fillId="0" fontId="2" numFmtId="0" xfId="0" applyBorder="1" applyFont="1"/>
    <xf borderId="29" fillId="3" fontId="1" numFmtId="49" xfId="0" applyAlignment="1" applyBorder="1" applyFont="1" applyNumberFormat="1">
      <alignment horizontal="center" vertical="center"/>
    </xf>
    <xf borderId="65" fillId="6" fontId="1" numFmtId="0" xfId="0" applyAlignment="1" applyBorder="1" applyFont="1">
      <alignment horizontal="center" shrinkToFit="0" vertical="center" wrapText="1"/>
    </xf>
    <xf borderId="21" fillId="6" fontId="1" numFmtId="0" xfId="0" applyAlignment="1" applyBorder="1" applyFont="1">
      <alignment horizontal="center" shrinkToFit="0" vertical="center" wrapText="1"/>
    </xf>
    <xf borderId="87" fillId="6" fontId="1" numFmtId="0" xfId="0" applyAlignment="1" applyBorder="1" applyFont="1">
      <alignment horizontal="center" vertical="center"/>
    </xf>
    <xf borderId="3" fillId="0" fontId="1" numFmtId="169" xfId="0" applyAlignment="1" applyBorder="1" applyFont="1" applyNumberFormat="1">
      <alignment horizontal="center" vertical="center"/>
    </xf>
    <xf borderId="151" fillId="0" fontId="1" numFmtId="169" xfId="0" applyAlignment="1" applyBorder="1" applyFont="1" applyNumberFormat="1">
      <alignment horizontal="center" vertical="center"/>
    </xf>
    <xf borderId="32" fillId="0" fontId="1" numFmtId="169" xfId="0" applyAlignment="1" applyBorder="1" applyFont="1" applyNumberFormat="1">
      <alignment horizontal="center" vertical="center"/>
    </xf>
    <xf borderId="3" fillId="6" fontId="1" numFmtId="169" xfId="0" applyAlignment="1" applyBorder="1" applyFont="1" applyNumberFormat="1">
      <alignment horizontal="center" vertical="center"/>
    </xf>
    <xf borderId="151" fillId="6" fontId="1" numFmtId="169" xfId="0" applyAlignment="1" applyBorder="1" applyFont="1" applyNumberFormat="1">
      <alignment horizontal="center" vertical="center"/>
    </xf>
    <xf borderId="32" fillId="6" fontId="1" numFmtId="169" xfId="0" applyAlignment="1" applyBorder="1" applyFont="1" applyNumberFormat="1">
      <alignment horizontal="center" vertical="center"/>
    </xf>
    <xf borderId="52" fillId="6" fontId="1" numFmtId="0" xfId="0" applyAlignment="1" applyBorder="1" applyFont="1">
      <alignment horizontal="center" vertical="center"/>
    </xf>
    <xf borderId="17" fillId="0" fontId="1" numFmtId="169" xfId="0" applyAlignment="1" applyBorder="1" applyFont="1" applyNumberFormat="1">
      <alignment horizontal="center" vertical="center"/>
    </xf>
    <xf borderId="21" fillId="0" fontId="1" numFmtId="169" xfId="0" applyAlignment="1" applyBorder="1" applyFont="1" applyNumberFormat="1">
      <alignment horizontal="center" vertical="center"/>
    </xf>
    <xf borderId="73" fillId="0" fontId="1" numFmtId="169" xfId="0" applyAlignment="1" applyBorder="1" applyFont="1" applyNumberFormat="1">
      <alignment horizontal="center" vertical="center"/>
    </xf>
    <xf borderId="17" fillId="6" fontId="1" numFmtId="169" xfId="0" applyAlignment="1" applyBorder="1" applyFont="1" applyNumberFormat="1">
      <alignment horizontal="center" vertical="center"/>
    </xf>
    <xf borderId="21" fillId="6" fontId="1" numFmtId="169" xfId="0" applyAlignment="1" applyBorder="1" applyFont="1" applyNumberFormat="1">
      <alignment horizontal="center" vertical="center"/>
    </xf>
    <xf borderId="73" fillId="6" fontId="1" numFmtId="169" xfId="0" applyAlignment="1" applyBorder="1" applyFont="1" applyNumberFormat="1">
      <alignment horizontal="center" vertical="center"/>
    </xf>
    <xf borderId="10" fillId="6" fontId="1" numFmtId="0" xfId="0" applyAlignment="1" applyBorder="1" applyFont="1">
      <alignment horizontal="center" vertical="center"/>
    </xf>
    <xf borderId="11" fillId="0" fontId="1" numFmtId="169" xfId="0" applyAlignment="1" applyBorder="1" applyFont="1" applyNumberFormat="1">
      <alignment horizontal="center" vertical="center"/>
    </xf>
    <xf borderId="29" fillId="0" fontId="1" numFmtId="169" xfId="0" applyAlignment="1" applyBorder="1" applyFont="1" applyNumberFormat="1">
      <alignment horizontal="center" vertical="center"/>
    </xf>
    <xf borderId="12" fillId="0" fontId="1" numFmtId="169" xfId="0" applyAlignment="1" applyBorder="1" applyFont="1" applyNumberFormat="1">
      <alignment horizontal="center" vertical="center"/>
    </xf>
    <xf borderId="11" fillId="6" fontId="1" numFmtId="169" xfId="0" applyAlignment="1" applyBorder="1" applyFont="1" applyNumberFormat="1">
      <alignment horizontal="center" vertical="center"/>
    </xf>
    <xf borderId="29" fillId="6" fontId="1" numFmtId="169" xfId="0" applyAlignment="1" applyBorder="1" applyFont="1" applyNumberFormat="1">
      <alignment horizontal="center" vertical="center"/>
    </xf>
    <xf borderId="12" fillId="6" fontId="1" numFmtId="169" xfId="0" applyAlignment="1" applyBorder="1" applyFont="1" applyNumberFormat="1">
      <alignment horizontal="center" vertical="center"/>
    </xf>
    <xf borderId="43" fillId="8" fontId="7" numFmtId="0" xfId="0" applyBorder="1" applyFont="1"/>
    <xf borderId="43" fillId="25" fontId="1" numFmtId="0" xfId="0" applyBorder="1" applyFont="1"/>
    <xf borderId="138" fillId="5" fontId="16" numFmtId="0" xfId="0" applyAlignment="1" applyBorder="1" applyFont="1">
      <alignment horizontal="center" vertical="center"/>
    </xf>
    <xf borderId="152" fillId="0" fontId="2" numFmtId="0" xfId="0" applyBorder="1" applyFont="1"/>
    <xf borderId="63" fillId="0" fontId="2" numFmtId="0" xfId="0" applyBorder="1" applyFont="1"/>
    <xf borderId="98" fillId="0" fontId="2" numFmtId="0" xfId="0" applyBorder="1" applyFont="1"/>
    <xf borderId="153" fillId="0" fontId="2" numFmtId="0" xfId="0" applyBorder="1" applyFont="1"/>
    <xf borderId="21" fillId="5" fontId="3" numFmtId="0" xfId="0" applyAlignment="1" applyBorder="1" applyFont="1">
      <alignment horizontal="center"/>
    </xf>
    <xf borderId="21" fillId="0" fontId="1" numFmtId="183" xfId="0" applyBorder="1" applyFont="1" applyNumberFormat="1"/>
    <xf borderId="0" fillId="0" fontId="1" numFmtId="183" xfId="0" applyFont="1" applyNumberFormat="1"/>
    <xf borderId="67" fillId="29" fontId="16" numFmtId="0" xfId="0" applyAlignment="1" applyBorder="1" applyFont="1">
      <alignment horizontal="center"/>
    </xf>
    <xf borderId="21" fillId="0" fontId="3" numFmtId="183" xfId="0" applyBorder="1" applyFont="1" applyNumberFormat="1"/>
    <xf borderId="21" fillId="0" fontId="3" numFmtId="0" xfId="0" applyBorder="1" applyFont="1"/>
    <xf borderId="21" fillId="0" fontId="3" numFmtId="0" xfId="0" applyAlignment="1" applyBorder="1" applyFont="1">
      <alignment horizontal="center"/>
    </xf>
    <xf borderId="21" fillId="17" fontId="56" numFmtId="183" xfId="0" applyBorder="1" applyFont="1" applyNumberFormat="1"/>
    <xf borderId="118" fillId="0" fontId="1" numFmtId="9" xfId="0" applyAlignment="1" applyBorder="1" applyFont="1" applyNumberFormat="1">
      <alignment horizontal="center" vertical="center"/>
    </xf>
    <xf borderId="118" fillId="17" fontId="56" numFmtId="183" xfId="0" applyAlignment="1" applyBorder="1" applyFont="1" applyNumberFormat="1">
      <alignment horizontal="center" vertical="center"/>
    </xf>
    <xf borderId="118" fillId="0" fontId="1" numFmtId="0" xfId="0" applyAlignment="1" applyBorder="1" applyFont="1">
      <alignment horizontal="center" vertical="center"/>
    </xf>
    <xf borderId="118" fillId="0" fontId="3" numFmtId="183" xfId="0" applyAlignment="1" applyBorder="1" applyFont="1" applyNumberFormat="1">
      <alignment horizontal="center" vertical="center"/>
    </xf>
    <xf borderId="21" fillId="0" fontId="3" numFmtId="183" xfId="0" applyAlignment="1" applyBorder="1" applyFont="1" applyNumberFormat="1">
      <alignment horizontal="center"/>
    </xf>
    <xf borderId="0" fillId="0" fontId="56" numFmtId="183" xfId="0" applyFont="1" applyNumberFormat="1"/>
    <xf borderId="0" fillId="0" fontId="3" numFmtId="183" xfId="0" applyAlignment="1" applyFont="1" applyNumberFormat="1">
      <alignment horizontal="center"/>
    </xf>
    <xf borderId="0" fillId="0" fontId="3" numFmtId="183" xfId="0" applyFont="1" applyNumberFormat="1"/>
    <xf borderId="2" fillId="29" fontId="56" numFmtId="183" xfId="0" applyBorder="1" applyFont="1" applyNumberFormat="1"/>
    <xf borderId="138" fillId="29" fontId="16" numFmtId="0" xfId="0" applyAlignment="1" applyBorder="1" applyFont="1">
      <alignment horizontal="center" vertical="center"/>
    </xf>
    <xf borderId="21" fillId="40" fontId="56" numFmtId="1" xfId="0" applyAlignment="1" applyBorder="1" applyFill="1" applyFont="1" applyNumberFormat="1">
      <alignment horizontal="center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5.gif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28575</xdr:rowOff>
    </xdr:from>
    <xdr:ext cx="2124075" cy="1495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0</xdr:row>
      <xdr:rowOff>76200</xdr:rowOff>
    </xdr:from>
    <xdr:ext cx="571500" cy="6191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1162050" cy="15430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9050" cy="47625"/>
    <xdr:pic>
      <xdr:nvPicPr>
        <xdr:cNvPr descr="http://www.renzargentina.com.ar/img/pict.gif" id="0" name="image5.gif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9050" cy="47625"/>
    <xdr:pic>
      <xdr:nvPicPr>
        <xdr:cNvPr descr="http://www.renzargentina.com.ar/img/pict.gif" id="0" name="image5.gif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9050" cy="47625"/>
    <xdr:pic>
      <xdr:nvPicPr>
        <xdr:cNvPr descr="http://www.renzargentina.com.ar/img/pict.gif" id="0" name="image5.gif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9050" cy="47625"/>
    <xdr:pic>
      <xdr:nvPicPr>
        <xdr:cNvPr descr="http://www.renzargentina.com.ar/img/pict.gif" id="0" name="image5.gif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9050" cy="47625"/>
    <xdr:pic>
      <xdr:nvPicPr>
        <xdr:cNvPr descr="http://www.renzargentina.com.ar/img/pict.gif" id="0" name="image5.gif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771525" cy="771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485775" cy="37147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14"/>
    <col customWidth="1" min="3" max="12" width="8.86"/>
    <col customWidth="1" min="13" max="13" width="13.0"/>
    <col customWidth="1" min="14" max="14" width="4.71"/>
    <col customWidth="1" min="15" max="15" width="14.86"/>
    <col customWidth="1" min="16" max="16" width="11.43"/>
    <col customWidth="1" min="17" max="17" width="15.14"/>
    <col customWidth="1" min="18" max="18" width="13.0"/>
    <col customWidth="1" min="19" max="20" width="11.43"/>
    <col customWidth="1" min="21" max="21" width="17.29"/>
    <col customWidth="1" min="22" max="23" width="18.29"/>
    <col customWidth="1" min="24" max="25" width="11.43"/>
    <col customWidth="1" min="26" max="26" width="10.71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 t="s">
        <v>1</v>
      </c>
      <c r="R1" s="5"/>
      <c r="Z1" s="3"/>
    </row>
    <row r="2">
      <c r="A2" s="3"/>
      <c r="B2" s="6" t="s">
        <v>2</v>
      </c>
      <c r="C2" s="7" t="s">
        <v>3</v>
      </c>
      <c r="D2" s="8"/>
      <c r="E2" s="7" t="s">
        <v>4</v>
      </c>
      <c r="F2" s="8"/>
      <c r="G2" s="7" t="s">
        <v>5</v>
      </c>
      <c r="H2" s="8"/>
      <c r="I2" s="7" t="s">
        <v>6</v>
      </c>
      <c r="J2" s="8"/>
      <c r="K2" s="7" t="s">
        <v>7</v>
      </c>
      <c r="L2" s="8"/>
      <c r="M2" s="9" t="s">
        <v>8</v>
      </c>
      <c r="N2" s="3"/>
      <c r="P2" s="10" t="s">
        <v>9</v>
      </c>
      <c r="Q2" s="11"/>
      <c r="R2" s="11"/>
      <c r="S2" s="12"/>
      <c r="Z2" s="3"/>
    </row>
    <row r="3">
      <c r="A3" s="13"/>
      <c r="B3" s="14"/>
      <c r="C3" s="15" t="s">
        <v>10</v>
      </c>
      <c r="D3" s="16" t="s">
        <v>11</v>
      </c>
      <c r="E3" s="15" t="s">
        <v>10</v>
      </c>
      <c r="F3" s="16" t="s">
        <v>11</v>
      </c>
      <c r="G3" s="15" t="s">
        <v>10</v>
      </c>
      <c r="H3" s="16" t="s">
        <v>11</v>
      </c>
      <c r="I3" s="15" t="s">
        <v>10</v>
      </c>
      <c r="J3" s="16" t="s">
        <v>11</v>
      </c>
      <c r="K3" s="15" t="s">
        <v>10</v>
      </c>
      <c r="L3" s="16" t="s">
        <v>11</v>
      </c>
      <c r="M3" s="17" t="s">
        <v>10</v>
      </c>
      <c r="N3" s="3"/>
      <c r="O3" s="18" t="s">
        <v>12</v>
      </c>
      <c r="P3" s="19" t="s">
        <v>13</v>
      </c>
      <c r="Q3" s="19" t="s">
        <v>14</v>
      </c>
      <c r="R3" s="19" t="s">
        <v>15</v>
      </c>
      <c r="S3" s="19" t="s">
        <v>16</v>
      </c>
      <c r="Z3" s="3"/>
    </row>
    <row r="4">
      <c r="A4" s="20"/>
      <c r="B4" s="21" t="s">
        <v>17</v>
      </c>
      <c r="C4" s="22">
        <f t="shared" ref="C4:C6" si="2">P37+$R$4</f>
        <v>10.346</v>
      </c>
      <c r="D4" s="23">
        <f t="shared" ref="D4:D6" si="3">P37+$W$38*T37+$R$4</f>
        <v>18.046</v>
      </c>
      <c r="E4" s="22">
        <f t="shared" ref="E4:E6" si="4">P37+$R$5</f>
        <v>9.5988</v>
      </c>
      <c r="F4" s="23">
        <f t="shared" ref="F4:F6" si="5">P37+$W$38*T37+$R$5</f>
        <v>17.2988</v>
      </c>
      <c r="G4" s="22">
        <f t="shared" ref="G4:G6" si="6">P37+$R$6</f>
        <v>9.0785</v>
      </c>
      <c r="H4" s="23">
        <f t="shared" ref="H4:H6" si="7">P37+T37*$W$38+$R$6</f>
        <v>16.7785</v>
      </c>
      <c r="I4" s="22">
        <f t="shared" ref="I4:I6" si="8">P37+$R$7</f>
        <v>8.7639</v>
      </c>
      <c r="J4" s="23">
        <f t="shared" ref="J4:J6" si="9">P37+T37*$W$38+$R$7</f>
        <v>16.4639</v>
      </c>
      <c r="K4" s="22">
        <f t="shared" ref="K4:K6" si="10">P37+$R$8</f>
        <v>8.4977</v>
      </c>
      <c r="L4" s="23">
        <f t="shared" ref="L4:L6" si="11">P37+T37*$W$38+$R$8</f>
        <v>16.1977</v>
      </c>
      <c r="M4" s="24">
        <f t="shared" ref="M4:M6" si="12">P37+$R$9</f>
        <v>10.6515</v>
      </c>
      <c r="N4" s="3"/>
      <c r="O4" s="25" t="s">
        <v>3</v>
      </c>
      <c r="P4" s="26">
        <f t="shared" ref="P4:S4" si="1">P24*P14</f>
        <v>3.64</v>
      </c>
      <c r="Q4" s="26">
        <f t="shared" si="1"/>
        <v>2.73</v>
      </c>
      <c r="R4" s="26">
        <f t="shared" si="1"/>
        <v>2.296</v>
      </c>
      <c r="S4" s="26">
        <f t="shared" si="1"/>
        <v>1.498</v>
      </c>
      <c r="Z4" s="3"/>
    </row>
    <row r="5">
      <c r="A5" s="3"/>
      <c r="B5" s="21" t="s">
        <v>18</v>
      </c>
      <c r="C5" s="22">
        <f t="shared" si="2"/>
        <v>9.996</v>
      </c>
      <c r="D5" s="23">
        <f t="shared" si="3"/>
        <v>17.346</v>
      </c>
      <c r="E5" s="22">
        <f t="shared" si="4"/>
        <v>9.2488</v>
      </c>
      <c r="F5" s="23">
        <f t="shared" si="5"/>
        <v>16.5988</v>
      </c>
      <c r="G5" s="22">
        <f t="shared" si="6"/>
        <v>8.7285</v>
      </c>
      <c r="H5" s="23">
        <f t="shared" si="7"/>
        <v>16.0785</v>
      </c>
      <c r="I5" s="22">
        <f t="shared" si="8"/>
        <v>8.4139</v>
      </c>
      <c r="J5" s="23">
        <f t="shared" si="9"/>
        <v>15.7639</v>
      </c>
      <c r="K5" s="22">
        <f t="shared" si="10"/>
        <v>8.1477</v>
      </c>
      <c r="L5" s="23">
        <f t="shared" si="11"/>
        <v>15.4977</v>
      </c>
      <c r="M5" s="24">
        <f t="shared" si="12"/>
        <v>10.3015</v>
      </c>
      <c r="N5" s="3"/>
      <c r="O5" s="25" t="s">
        <v>4</v>
      </c>
      <c r="P5" s="26">
        <f t="shared" ref="P5:S5" si="13">P25*P15</f>
        <v>2.44904</v>
      </c>
      <c r="Q5" s="26">
        <f t="shared" si="13"/>
        <v>1.83678</v>
      </c>
      <c r="R5" s="26">
        <f t="shared" si="13"/>
        <v>1.5488</v>
      </c>
      <c r="S5" s="26">
        <f t="shared" si="13"/>
        <v>1.0769</v>
      </c>
      <c r="Z5" s="3"/>
    </row>
    <row r="6">
      <c r="A6" s="3"/>
      <c r="B6" s="21" t="s">
        <v>19</v>
      </c>
      <c r="C6" s="22">
        <f t="shared" si="2"/>
        <v>9.646</v>
      </c>
      <c r="D6" s="23">
        <f t="shared" si="3"/>
        <v>16.996</v>
      </c>
      <c r="E6" s="22">
        <f t="shared" si="4"/>
        <v>8.8988</v>
      </c>
      <c r="F6" s="23">
        <f t="shared" si="5"/>
        <v>16.2488</v>
      </c>
      <c r="G6" s="22">
        <f t="shared" si="6"/>
        <v>8.3785</v>
      </c>
      <c r="H6" s="23">
        <f t="shared" si="7"/>
        <v>15.7285</v>
      </c>
      <c r="I6" s="22">
        <f t="shared" si="8"/>
        <v>8.0639</v>
      </c>
      <c r="J6" s="23">
        <f t="shared" si="9"/>
        <v>15.4139</v>
      </c>
      <c r="K6" s="22">
        <f t="shared" si="10"/>
        <v>7.7977</v>
      </c>
      <c r="L6" s="23">
        <f t="shared" si="11"/>
        <v>15.1477</v>
      </c>
      <c r="M6" s="24">
        <f t="shared" si="12"/>
        <v>9.9515</v>
      </c>
      <c r="N6" s="3"/>
      <c r="O6" s="25" t="s">
        <v>5</v>
      </c>
      <c r="P6" s="26">
        <f t="shared" ref="P6:S6" si="14">P26*P16</f>
        <v>1.63229</v>
      </c>
      <c r="Q6" s="26">
        <f t="shared" si="14"/>
        <v>1.22452</v>
      </c>
      <c r="R6" s="26">
        <f t="shared" si="14"/>
        <v>1.0285</v>
      </c>
      <c r="S6" s="26">
        <f t="shared" si="14"/>
        <v>0.8228</v>
      </c>
      <c r="Z6" s="3"/>
    </row>
    <row r="7">
      <c r="A7" s="3"/>
      <c r="B7" s="1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5" t="s">
        <v>6</v>
      </c>
      <c r="P7" s="26">
        <f t="shared" ref="P7:S7" si="15">P27*P17</f>
        <v>1.089</v>
      </c>
      <c r="Q7" s="26">
        <f t="shared" si="15"/>
        <v>0.81675</v>
      </c>
      <c r="R7" s="26">
        <f t="shared" si="15"/>
        <v>0.7139</v>
      </c>
      <c r="S7" s="26">
        <f t="shared" si="15"/>
        <v>0.6534</v>
      </c>
      <c r="Z7" s="3"/>
    </row>
    <row r="8">
      <c r="A8" s="3"/>
      <c r="B8" s="6" t="s">
        <v>20</v>
      </c>
      <c r="C8" s="7" t="s">
        <v>3</v>
      </c>
      <c r="D8" s="8"/>
      <c r="E8" s="7" t="s">
        <v>4</v>
      </c>
      <c r="F8" s="8"/>
      <c r="G8" s="7" t="s">
        <v>5</v>
      </c>
      <c r="H8" s="8"/>
      <c r="I8" s="7" t="s">
        <v>6</v>
      </c>
      <c r="J8" s="8"/>
      <c r="K8" s="7" t="s">
        <v>7</v>
      </c>
      <c r="L8" s="8"/>
      <c r="M8" s="9" t="s">
        <v>8</v>
      </c>
      <c r="N8" s="3"/>
      <c r="O8" s="25" t="s">
        <v>7</v>
      </c>
      <c r="P8" s="26">
        <f t="shared" ref="P8:S8" si="16">P28*P18</f>
        <v>0</v>
      </c>
      <c r="Q8" s="26">
        <f t="shared" si="16"/>
        <v>0.5324</v>
      </c>
      <c r="R8" s="26">
        <f t="shared" si="16"/>
        <v>0.4477</v>
      </c>
      <c r="S8" s="26">
        <f t="shared" si="16"/>
        <v>0.5324</v>
      </c>
      <c r="Z8" s="3"/>
    </row>
    <row r="9">
      <c r="A9" s="3"/>
      <c r="B9" s="14"/>
      <c r="C9" s="15" t="s">
        <v>10</v>
      </c>
      <c r="D9" s="16" t="s">
        <v>11</v>
      </c>
      <c r="E9" s="15" t="s">
        <v>10</v>
      </c>
      <c r="F9" s="16" t="s">
        <v>11</v>
      </c>
      <c r="G9" s="15" t="s">
        <v>10</v>
      </c>
      <c r="H9" s="16" t="s">
        <v>11</v>
      </c>
      <c r="I9" s="15" t="s">
        <v>10</v>
      </c>
      <c r="J9" s="16" t="s">
        <v>11</v>
      </c>
      <c r="K9" s="15" t="s">
        <v>10</v>
      </c>
      <c r="L9" s="16" t="s">
        <v>11</v>
      </c>
      <c r="M9" s="17" t="s">
        <v>10</v>
      </c>
      <c r="N9" s="3"/>
      <c r="O9" s="25" t="s">
        <v>8</v>
      </c>
      <c r="P9" s="26">
        <f t="shared" ref="P9:S9" si="17">P29*P19</f>
        <v>5.203</v>
      </c>
      <c r="Q9" s="26">
        <f t="shared" si="17"/>
        <v>5.203</v>
      </c>
      <c r="R9" s="26">
        <f t="shared" si="17"/>
        <v>2.6015</v>
      </c>
      <c r="S9" s="26">
        <f t="shared" si="17"/>
        <v>1.6093</v>
      </c>
      <c r="Z9" s="3"/>
    </row>
    <row r="10">
      <c r="A10" s="3"/>
      <c r="B10" s="21" t="s">
        <v>17</v>
      </c>
      <c r="C10" s="22">
        <f t="shared" ref="C10:C12" si="19">P37+$Q$4</f>
        <v>10.78</v>
      </c>
      <c r="D10" s="23">
        <f t="shared" ref="D10:D12" si="20">P37+T37*$W$38+$Q$4</f>
        <v>18.48</v>
      </c>
      <c r="E10" s="22">
        <f t="shared" ref="E10:E12" si="21">P37+$Q$5</f>
        <v>9.88678</v>
      </c>
      <c r="F10" s="23">
        <f t="shared" ref="F10:F12" si="22">P37+T37*$W$38+$Q$5</f>
        <v>17.58678</v>
      </c>
      <c r="G10" s="22">
        <f t="shared" ref="G10:G12" si="23">P37+$Q$6</f>
        <v>9.27452</v>
      </c>
      <c r="H10" s="23">
        <f t="shared" ref="H10:H12" si="24">P37+T37*$W$38+$Q$6</f>
        <v>16.97452</v>
      </c>
      <c r="I10" s="22">
        <f t="shared" ref="I10:I12" si="25">P37+$Q$7</f>
        <v>8.86675</v>
      </c>
      <c r="J10" s="23">
        <f t="shared" ref="J10:J12" si="26">P37+T37*$W$38+$Q$7</f>
        <v>16.56675</v>
      </c>
      <c r="K10" s="22">
        <f t="shared" ref="K10:K12" si="27">P37+$Q$8</f>
        <v>8.5824</v>
      </c>
      <c r="L10" s="23">
        <f t="shared" ref="L10:L12" si="28">P37+T37*$W$38+$Q$8</f>
        <v>16.2824</v>
      </c>
      <c r="M10" s="24">
        <f t="shared" ref="M10:M12" si="29">P37+$Q$9</f>
        <v>13.253</v>
      </c>
      <c r="N10" s="3"/>
      <c r="O10" s="25" t="s">
        <v>21</v>
      </c>
      <c r="P10" s="26">
        <f t="shared" ref="P10:S10" si="18">P30*P20</f>
        <v>0</v>
      </c>
      <c r="Q10" s="26">
        <f t="shared" si="18"/>
        <v>0</v>
      </c>
      <c r="R10" s="26">
        <f t="shared" si="18"/>
        <v>0</v>
      </c>
      <c r="S10" s="26">
        <f t="shared" si="18"/>
        <v>0</v>
      </c>
      <c r="Z10" s="3"/>
    </row>
    <row r="11">
      <c r="A11" s="3"/>
      <c r="B11" s="21" t="s">
        <v>18</v>
      </c>
      <c r="C11" s="22">
        <f t="shared" si="19"/>
        <v>10.43</v>
      </c>
      <c r="D11" s="23">
        <f t="shared" si="20"/>
        <v>17.78</v>
      </c>
      <c r="E11" s="22">
        <f t="shared" si="21"/>
        <v>9.53678</v>
      </c>
      <c r="F11" s="23">
        <f t="shared" si="22"/>
        <v>16.88678</v>
      </c>
      <c r="G11" s="22">
        <f t="shared" si="23"/>
        <v>8.92452</v>
      </c>
      <c r="H11" s="23">
        <f t="shared" si="24"/>
        <v>16.27452</v>
      </c>
      <c r="I11" s="22">
        <f t="shared" si="25"/>
        <v>8.51675</v>
      </c>
      <c r="J11" s="23">
        <f t="shared" si="26"/>
        <v>15.86675</v>
      </c>
      <c r="K11" s="22">
        <f t="shared" si="27"/>
        <v>8.2324</v>
      </c>
      <c r="L11" s="23">
        <f t="shared" si="28"/>
        <v>15.5824</v>
      </c>
      <c r="M11" s="24">
        <f t="shared" si="29"/>
        <v>12.903</v>
      </c>
      <c r="N11" s="3"/>
      <c r="P11" s="3"/>
      <c r="Q11" s="3"/>
      <c r="R11" s="3"/>
    </row>
    <row r="12">
      <c r="A12" s="3"/>
      <c r="B12" s="21" t="s">
        <v>19</v>
      </c>
      <c r="C12" s="22">
        <f t="shared" si="19"/>
        <v>10.08</v>
      </c>
      <c r="D12" s="23">
        <f t="shared" si="20"/>
        <v>17.43</v>
      </c>
      <c r="E12" s="22">
        <f t="shared" si="21"/>
        <v>9.18678</v>
      </c>
      <c r="F12" s="23">
        <f t="shared" si="22"/>
        <v>16.53678</v>
      </c>
      <c r="G12" s="22">
        <f t="shared" si="23"/>
        <v>8.57452</v>
      </c>
      <c r="H12" s="23">
        <f t="shared" si="24"/>
        <v>15.92452</v>
      </c>
      <c r="I12" s="22">
        <f t="shared" si="25"/>
        <v>8.16675</v>
      </c>
      <c r="J12" s="23">
        <f t="shared" si="26"/>
        <v>15.51675</v>
      </c>
      <c r="K12" s="22">
        <f t="shared" si="27"/>
        <v>7.8824</v>
      </c>
      <c r="L12" s="23">
        <f t="shared" si="28"/>
        <v>15.2324</v>
      </c>
      <c r="M12" s="24">
        <f t="shared" si="29"/>
        <v>12.553</v>
      </c>
      <c r="N12" s="3"/>
      <c r="O12" s="27" t="s">
        <v>22</v>
      </c>
      <c r="P12" s="3"/>
      <c r="Q12" s="3"/>
      <c r="R12" s="3"/>
      <c r="S12" s="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3"/>
      <c r="O13" s="28"/>
      <c r="P13" s="18" t="s">
        <v>13</v>
      </c>
      <c r="Q13" s="18" t="s">
        <v>14</v>
      </c>
      <c r="R13" s="18" t="s">
        <v>15</v>
      </c>
      <c r="S13" s="18" t="s">
        <v>16</v>
      </c>
    </row>
    <row r="14">
      <c r="A14" s="13"/>
      <c r="B14" s="6" t="s">
        <v>23</v>
      </c>
      <c r="C14" s="7" t="s">
        <v>24</v>
      </c>
      <c r="D14" s="8"/>
      <c r="E14" s="7" t="s">
        <v>25</v>
      </c>
      <c r="F14" s="8"/>
      <c r="G14" s="7" t="s">
        <v>26</v>
      </c>
      <c r="H14" s="8"/>
      <c r="I14" s="7" t="s">
        <v>27</v>
      </c>
      <c r="J14" s="8"/>
      <c r="K14" s="7" t="s">
        <v>28</v>
      </c>
      <c r="L14" s="8"/>
      <c r="M14" s="9" t="s">
        <v>8</v>
      </c>
      <c r="N14" s="3"/>
      <c r="O14" s="18" t="s">
        <v>3</v>
      </c>
      <c r="P14" s="29">
        <v>1.4</v>
      </c>
      <c r="Q14" s="29">
        <v>1.4</v>
      </c>
      <c r="R14" s="29">
        <v>1.4</v>
      </c>
      <c r="S14" s="29">
        <v>1.4</v>
      </c>
      <c r="U14" s="3" t="s">
        <v>29</v>
      </c>
      <c r="V14" s="3" t="s">
        <v>30</v>
      </c>
    </row>
    <row r="15">
      <c r="A15" s="13"/>
      <c r="B15" s="14"/>
      <c r="C15" s="15" t="s">
        <v>10</v>
      </c>
      <c r="D15" s="16" t="s">
        <v>11</v>
      </c>
      <c r="E15" s="15" t="s">
        <v>10</v>
      </c>
      <c r="F15" s="16" t="s">
        <v>11</v>
      </c>
      <c r="G15" s="15" t="s">
        <v>10</v>
      </c>
      <c r="H15" s="16" t="s">
        <v>11</v>
      </c>
      <c r="I15" s="15" t="s">
        <v>10</v>
      </c>
      <c r="J15" s="16" t="s">
        <v>11</v>
      </c>
      <c r="K15" s="15" t="s">
        <v>10</v>
      </c>
      <c r="L15" s="16" t="s">
        <v>11</v>
      </c>
      <c r="M15" s="17" t="s">
        <v>10</v>
      </c>
      <c r="N15" s="3"/>
      <c r="O15" s="18" t="s">
        <v>4</v>
      </c>
      <c r="P15" s="29">
        <v>1.21</v>
      </c>
      <c r="Q15" s="29">
        <v>1.21</v>
      </c>
      <c r="R15" s="29">
        <v>1.21</v>
      </c>
      <c r="S15" s="29">
        <v>1.21</v>
      </c>
      <c r="T15" s="3"/>
      <c r="U15" s="3" t="s">
        <v>31</v>
      </c>
      <c r="V15" s="3" t="s">
        <v>32</v>
      </c>
      <c r="W15" s="3"/>
      <c r="X15" s="3"/>
      <c r="Y15" s="3"/>
      <c r="Z15" s="3"/>
    </row>
    <row r="16">
      <c r="A16" s="13"/>
      <c r="B16" s="21" t="s">
        <v>17</v>
      </c>
      <c r="C16" s="22">
        <f t="shared" ref="C16:C18" si="30">Q37+$P$4</f>
        <v>23.765</v>
      </c>
      <c r="D16" s="23">
        <f t="shared" ref="D16:D18" si="31">Q37+T37*$W$38+$P$4</f>
        <v>31.465</v>
      </c>
      <c r="E16" s="22">
        <f t="shared" ref="E16:E18" si="32">Q37+$P$5</f>
        <v>22.57404</v>
      </c>
      <c r="F16" s="23">
        <f t="shared" ref="F16:F18" si="33">Q37+T37*$W$38+$P$5</f>
        <v>30.27404</v>
      </c>
      <c r="G16" s="22">
        <f t="shared" ref="G16:G18" si="34">Q37+$P$6</f>
        <v>21.75729</v>
      </c>
      <c r="H16" s="23">
        <f t="shared" ref="H16:H18" si="35">Q37+T37*$W$38+$P$6</f>
        <v>29.45729</v>
      </c>
      <c r="I16" s="22">
        <f t="shared" ref="I16:I18" si="36">Q37+$P$7</f>
        <v>21.214</v>
      </c>
      <c r="J16" s="23">
        <f t="shared" ref="J16:J18" si="37">Q37+T37*$W$38+$P$7</f>
        <v>28.914</v>
      </c>
      <c r="K16" s="22">
        <f t="shared" ref="K16:K18" si="38">Q37+$P$8</f>
        <v>20.125</v>
      </c>
      <c r="L16" s="23">
        <f t="shared" ref="L16:L18" si="39">Q37+T37*$W$38+$P$8</f>
        <v>27.825</v>
      </c>
      <c r="M16" s="24">
        <f t="shared" ref="M16:M18" si="40">Q37+$P$9</f>
        <v>25.328</v>
      </c>
      <c r="N16" s="3"/>
      <c r="O16" s="18" t="s">
        <v>5</v>
      </c>
      <c r="P16" s="29">
        <v>1.21</v>
      </c>
      <c r="Q16" s="29">
        <v>1.21</v>
      </c>
      <c r="R16" s="29">
        <v>1.21</v>
      </c>
      <c r="S16" s="29">
        <v>1.21</v>
      </c>
      <c r="U16" s="3" t="s">
        <v>33</v>
      </c>
      <c r="V16" s="3" t="s">
        <v>34</v>
      </c>
    </row>
    <row r="17">
      <c r="A17" s="13"/>
      <c r="B17" s="21" t="s">
        <v>18</v>
      </c>
      <c r="C17" s="22">
        <f t="shared" si="30"/>
        <v>22.89</v>
      </c>
      <c r="D17" s="23">
        <f t="shared" si="31"/>
        <v>30.24</v>
      </c>
      <c r="E17" s="22">
        <f t="shared" si="32"/>
        <v>21.69904</v>
      </c>
      <c r="F17" s="23">
        <f t="shared" si="33"/>
        <v>29.04904</v>
      </c>
      <c r="G17" s="22">
        <f t="shared" si="34"/>
        <v>20.88229</v>
      </c>
      <c r="H17" s="23">
        <f t="shared" si="35"/>
        <v>28.23229</v>
      </c>
      <c r="I17" s="22">
        <f t="shared" si="36"/>
        <v>20.339</v>
      </c>
      <c r="J17" s="23">
        <f t="shared" si="37"/>
        <v>27.689</v>
      </c>
      <c r="K17" s="22">
        <f t="shared" si="38"/>
        <v>19.25</v>
      </c>
      <c r="L17" s="23">
        <f t="shared" si="39"/>
        <v>26.6</v>
      </c>
      <c r="M17" s="24">
        <f t="shared" si="40"/>
        <v>24.453</v>
      </c>
      <c r="N17" s="3"/>
      <c r="O17" s="18" t="s">
        <v>6</v>
      </c>
      <c r="P17" s="29">
        <v>1.21</v>
      </c>
      <c r="Q17" s="29">
        <v>1.21</v>
      </c>
      <c r="R17" s="29">
        <v>1.21</v>
      </c>
      <c r="S17" s="29">
        <v>1.21</v>
      </c>
    </row>
    <row r="18">
      <c r="A18" s="13"/>
      <c r="B18" s="21" t="s">
        <v>19</v>
      </c>
      <c r="C18" s="22">
        <f t="shared" si="30"/>
        <v>22.015</v>
      </c>
      <c r="D18" s="23">
        <f t="shared" si="31"/>
        <v>29.365</v>
      </c>
      <c r="E18" s="22">
        <f t="shared" si="32"/>
        <v>20.82404</v>
      </c>
      <c r="F18" s="23">
        <f t="shared" si="33"/>
        <v>28.17404</v>
      </c>
      <c r="G18" s="22">
        <f t="shared" si="34"/>
        <v>20.00729</v>
      </c>
      <c r="H18" s="23">
        <f t="shared" si="35"/>
        <v>27.35729</v>
      </c>
      <c r="I18" s="22">
        <f t="shared" si="36"/>
        <v>19.464</v>
      </c>
      <c r="J18" s="23">
        <f t="shared" si="37"/>
        <v>26.814</v>
      </c>
      <c r="K18" s="22">
        <f t="shared" si="38"/>
        <v>18.375</v>
      </c>
      <c r="L18" s="23">
        <f t="shared" si="39"/>
        <v>25.725</v>
      </c>
      <c r="M18" s="24">
        <f t="shared" si="40"/>
        <v>23.578</v>
      </c>
      <c r="N18" s="3"/>
      <c r="O18" s="18" t="s">
        <v>7</v>
      </c>
      <c r="P18" s="29"/>
      <c r="Q18" s="29">
        <v>1.21</v>
      </c>
      <c r="R18" s="29">
        <v>1.21</v>
      </c>
      <c r="S18" s="29">
        <v>1.21</v>
      </c>
    </row>
    <row r="19">
      <c r="A19" s="1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"/>
      <c r="O19" s="18" t="s">
        <v>8</v>
      </c>
      <c r="P19" s="29">
        <v>1.21</v>
      </c>
      <c r="Q19" s="29">
        <v>1.21</v>
      </c>
      <c r="R19" s="29">
        <v>1.21</v>
      </c>
      <c r="S19" s="29">
        <v>1.21</v>
      </c>
    </row>
    <row r="20">
      <c r="A20" s="13"/>
      <c r="B20" s="6" t="s">
        <v>35</v>
      </c>
      <c r="C20" s="7" t="s">
        <v>24</v>
      </c>
      <c r="D20" s="8"/>
      <c r="E20" s="7" t="s">
        <v>25</v>
      </c>
      <c r="F20" s="8"/>
      <c r="G20" s="7" t="s">
        <v>26</v>
      </c>
      <c r="H20" s="8"/>
      <c r="I20" s="7" t="s">
        <v>27</v>
      </c>
      <c r="J20" s="8"/>
      <c r="K20" s="7" t="s">
        <v>28</v>
      </c>
      <c r="L20" s="8"/>
      <c r="M20" s="9" t="s">
        <v>8</v>
      </c>
      <c r="N20" s="3"/>
      <c r="O20" s="18"/>
      <c r="P20" s="29"/>
      <c r="Q20" s="29"/>
      <c r="R20" s="29"/>
      <c r="S20" s="29"/>
    </row>
    <row r="21" ht="15.75" customHeight="1">
      <c r="A21" s="3"/>
      <c r="B21" s="14"/>
      <c r="C21" s="15" t="s">
        <v>10</v>
      </c>
      <c r="D21" s="16" t="s">
        <v>11</v>
      </c>
      <c r="E21" s="15" t="s">
        <v>10</v>
      </c>
      <c r="F21" s="16" t="s">
        <v>11</v>
      </c>
      <c r="G21" s="15" t="s">
        <v>10</v>
      </c>
      <c r="H21" s="16" t="s">
        <v>11</v>
      </c>
      <c r="I21" s="15" t="s">
        <v>10</v>
      </c>
      <c r="J21" s="16" t="s">
        <v>11</v>
      </c>
      <c r="K21" s="15" t="s">
        <v>10</v>
      </c>
      <c r="L21" s="16" t="s">
        <v>11</v>
      </c>
      <c r="M21" s="17" t="s">
        <v>10</v>
      </c>
      <c r="N21" s="3"/>
    </row>
    <row r="22" ht="15.75" customHeight="1">
      <c r="A22" s="3"/>
      <c r="B22" s="21" t="s">
        <v>17</v>
      </c>
      <c r="C22" s="22">
        <f t="shared" ref="C22:C24" si="41">R37+$S$4</f>
        <v>5.523</v>
      </c>
      <c r="D22" s="23">
        <f t="shared" ref="D22:D24" si="42">R37+T37*$W$38+$S$4</f>
        <v>13.223</v>
      </c>
      <c r="E22" s="22">
        <f t="shared" ref="E22:E24" si="43">R37+$S$5</f>
        <v>5.1019</v>
      </c>
      <c r="F22" s="23">
        <f t="shared" ref="F22:F24" si="44">R37+T37*$W$38+$S$5</f>
        <v>12.8019</v>
      </c>
      <c r="G22" s="22">
        <f t="shared" ref="G22:G24" si="45">R37+$S$6</f>
        <v>4.8478</v>
      </c>
      <c r="H22" s="23">
        <f t="shared" ref="H22:H24" si="46">R37+T37*$W$38+$S$6</f>
        <v>12.5478</v>
      </c>
      <c r="I22" s="22">
        <f t="shared" ref="I22:I24" si="47">R37+$S$7</f>
        <v>4.6784</v>
      </c>
      <c r="J22" s="23">
        <f t="shared" ref="J22:J24" si="48">R37+T37*$W$38+$S$7</f>
        <v>12.3784</v>
      </c>
      <c r="K22" s="22">
        <f t="shared" ref="K22:K24" si="49">R37+$S$8</f>
        <v>4.5574</v>
      </c>
      <c r="L22" s="23">
        <f t="shared" ref="L22:L24" si="50">R37+T37*$W$38+$S$8</f>
        <v>12.2574</v>
      </c>
      <c r="M22" s="24">
        <f t="shared" ref="M22:M24" si="51">R37+$S$9</f>
        <v>5.6343</v>
      </c>
      <c r="N22" s="3"/>
      <c r="O22" s="27" t="s">
        <v>36</v>
      </c>
    </row>
    <row r="23" ht="15.75" customHeight="1">
      <c r="A23" s="13"/>
      <c r="B23" s="21" t="s">
        <v>18</v>
      </c>
      <c r="C23" s="22">
        <f t="shared" si="41"/>
        <v>5.348</v>
      </c>
      <c r="D23" s="23">
        <f t="shared" si="42"/>
        <v>12.698</v>
      </c>
      <c r="E23" s="22">
        <f t="shared" si="43"/>
        <v>4.9269</v>
      </c>
      <c r="F23" s="23">
        <f t="shared" si="44"/>
        <v>12.2769</v>
      </c>
      <c r="G23" s="22">
        <f t="shared" si="45"/>
        <v>4.6728</v>
      </c>
      <c r="H23" s="23">
        <f t="shared" si="46"/>
        <v>12.0228</v>
      </c>
      <c r="I23" s="22">
        <f t="shared" si="47"/>
        <v>4.5034</v>
      </c>
      <c r="J23" s="23">
        <f t="shared" si="48"/>
        <v>11.8534</v>
      </c>
      <c r="K23" s="22">
        <f t="shared" si="49"/>
        <v>4.3824</v>
      </c>
      <c r="L23" s="23">
        <f t="shared" si="50"/>
        <v>11.7324</v>
      </c>
      <c r="M23" s="24">
        <f t="shared" si="51"/>
        <v>5.4593</v>
      </c>
      <c r="N23" s="3"/>
      <c r="O23" s="28"/>
      <c r="P23" s="18" t="s">
        <v>13</v>
      </c>
      <c r="Q23" s="18" t="s">
        <v>14</v>
      </c>
      <c r="R23" s="18" t="s">
        <v>15</v>
      </c>
      <c r="S23" s="18" t="s">
        <v>16</v>
      </c>
    </row>
    <row r="24" ht="15.75" customHeight="1">
      <c r="A24" s="31"/>
      <c r="B24" s="21" t="s">
        <v>19</v>
      </c>
      <c r="C24" s="22">
        <f t="shared" si="41"/>
        <v>5.173</v>
      </c>
      <c r="D24" s="23">
        <f t="shared" si="42"/>
        <v>12.523</v>
      </c>
      <c r="E24" s="22">
        <f t="shared" si="43"/>
        <v>4.7519</v>
      </c>
      <c r="F24" s="23">
        <f t="shared" si="44"/>
        <v>12.1019</v>
      </c>
      <c r="G24" s="22">
        <f t="shared" si="45"/>
        <v>4.4978</v>
      </c>
      <c r="H24" s="23">
        <f t="shared" si="46"/>
        <v>11.8478</v>
      </c>
      <c r="I24" s="22">
        <f t="shared" si="47"/>
        <v>4.3284</v>
      </c>
      <c r="J24" s="23">
        <f t="shared" si="48"/>
        <v>11.6784</v>
      </c>
      <c r="K24" s="22">
        <f t="shared" si="49"/>
        <v>4.2074</v>
      </c>
      <c r="L24" s="23">
        <f t="shared" si="50"/>
        <v>11.5574</v>
      </c>
      <c r="M24" s="24">
        <f t="shared" si="51"/>
        <v>5.2843</v>
      </c>
      <c r="N24" s="3"/>
      <c r="O24" s="18" t="s">
        <v>3</v>
      </c>
      <c r="P24" s="29">
        <v>2.6</v>
      </c>
      <c r="Q24" s="29">
        <v>1.95</v>
      </c>
      <c r="R24" s="29">
        <v>1.64</v>
      </c>
      <c r="S24" s="29">
        <v>1.07</v>
      </c>
    </row>
    <row r="25" ht="15.75" customHeight="1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2"/>
      <c r="O25" s="18" t="s">
        <v>4</v>
      </c>
      <c r="P25" s="29">
        <v>2.024</v>
      </c>
      <c r="Q25" s="29">
        <v>1.518</v>
      </c>
      <c r="R25" s="29">
        <v>1.28</v>
      </c>
      <c r="S25" s="29">
        <v>0.89</v>
      </c>
      <c r="U25" s="20">
        <v>3000.0</v>
      </c>
    </row>
    <row r="26" ht="15.75" customHeight="1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2"/>
      <c r="O26" s="18" t="s">
        <v>5</v>
      </c>
      <c r="P26" s="29">
        <v>1.349</v>
      </c>
      <c r="Q26" s="29">
        <v>1.012</v>
      </c>
      <c r="R26" s="29">
        <v>0.85</v>
      </c>
      <c r="S26" s="29">
        <v>0.68</v>
      </c>
      <c r="U26" s="20">
        <v>1000.0</v>
      </c>
    </row>
    <row r="27" ht="15.75" customHeight="1">
      <c r="A27" s="3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2"/>
      <c r="O27" s="18" t="s">
        <v>6</v>
      </c>
      <c r="P27" s="29">
        <v>0.9</v>
      </c>
      <c r="Q27" s="29">
        <v>0.675</v>
      </c>
      <c r="R27" s="29">
        <v>0.59</v>
      </c>
      <c r="S27" s="29">
        <v>0.54</v>
      </c>
      <c r="T27" s="3"/>
      <c r="U27" s="20">
        <v>200.0</v>
      </c>
      <c r="V27" s="3"/>
      <c r="W27" s="3"/>
      <c r="X27" s="3"/>
      <c r="Y27" s="3"/>
      <c r="Z27" s="3"/>
    </row>
    <row r="28" ht="15.75" customHeight="1">
      <c r="A28" s="31"/>
      <c r="B28" s="33" t="s">
        <v>37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3"/>
      <c r="O28" s="18" t="s">
        <v>7</v>
      </c>
      <c r="P28" s="29">
        <v>0.587</v>
      </c>
      <c r="Q28" s="29">
        <v>0.44</v>
      </c>
      <c r="R28" s="29">
        <v>0.37</v>
      </c>
      <c r="S28" s="29">
        <v>0.44</v>
      </c>
      <c r="U28" s="20">
        <v>5000.0</v>
      </c>
    </row>
    <row r="29" ht="15.75" customHeight="1">
      <c r="A29" s="31"/>
      <c r="B29" s="6" t="s">
        <v>38</v>
      </c>
      <c r="C29" s="7" t="s">
        <v>24</v>
      </c>
      <c r="D29" s="8"/>
      <c r="E29" s="7" t="s">
        <v>25</v>
      </c>
      <c r="F29" s="8"/>
      <c r="G29" s="7" t="s">
        <v>26</v>
      </c>
      <c r="H29" s="8"/>
      <c r="I29" s="7" t="s">
        <v>27</v>
      </c>
      <c r="J29" s="8"/>
      <c r="K29" s="7" t="s">
        <v>28</v>
      </c>
      <c r="L29" s="8"/>
      <c r="M29" s="9" t="s">
        <v>8</v>
      </c>
      <c r="N29" s="3"/>
      <c r="O29" s="18" t="s">
        <v>8</v>
      </c>
      <c r="P29" s="29">
        <v>4.3</v>
      </c>
      <c r="Q29" s="29">
        <v>4.3</v>
      </c>
      <c r="R29" s="29">
        <v>2.15</v>
      </c>
      <c r="S29" s="29">
        <v>1.33</v>
      </c>
      <c r="U29" s="20">
        <v>2200.0</v>
      </c>
    </row>
    <row r="30" ht="15.75" customHeight="1">
      <c r="A30" s="31"/>
      <c r="B30" s="14" t="s">
        <v>39</v>
      </c>
      <c r="C30" s="15" t="s">
        <v>40</v>
      </c>
      <c r="D30" s="16" t="s">
        <v>41</v>
      </c>
      <c r="E30" s="15" t="s">
        <v>40</v>
      </c>
      <c r="F30" s="16" t="s">
        <v>41</v>
      </c>
      <c r="G30" s="15" t="s">
        <v>40</v>
      </c>
      <c r="H30" s="16" t="s">
        <v>41</v>
      </c>
      <c r="I30" s="15" t="s">
        <v>40</v>
      </c>
      <c r="J30" s="16" t="s">
        <v>41</v>
      </c>
      <c r="K30" s="15" t="s">
        <v>40</v>
      </c>
      <c r="L30" s="16" t="s">
        <v>41</v>
      </c>
      <c r="M30" s="17" t="s">
        <v>40</v>
      </c>
      <c r="N30" s="3"/>
      <c r="O30" s="18"/>
      <c r="P30" s="36"/>
      <c r="Q30" s="36"/>
      <c r="R30" s="36"/>
      <c r="S30" s="36"/>
      <c r="U30" s="20">
        <v>6900.0</v>
      </c>
    </row>
    <row r="31" ht="15.75" customHeight="1">
      <c r="A31" s="3"/>
      <c r="B31" s="37" t="s">
        <v>42</v>
      </c>
      <c r="C31" s="38">
        <f t="shared" ref="C31:C33" si="52">P43+$R$4</f>
        <v>4.796</v>
      </c>
      <c r="D31" s="23">
        <f t="shared" ref="D31:D33" si="53">P43+$W$39*T43+$R$4</f>
        <v>5.996</v>
      </c>
      <c r="E31" s="22">
        <f t="shared" ref="E31:E33" si="54">P43+$R$5</f>
        <v>4.0488</v>
      </c>
      <c r="F31" s="23">
        <f t="shared" ref="F31:F33" si="55">P43+$W$39*T43+$R$5</f>
        <v>5.2488</v>
      </c>
      <c r="G31" s="22">
        <f t="shared" ref="G31:G33" si="56">P43+$R$6</f>
        <v>3.5285</v>
      </c>
      <c r="H31" s="23">
        <f t="shared" ref="H31:H33" si="57">P43+T43*$W$39+$R$6</f>
        <v>4.7285</v>
      </c>
      <c r="I31" s="22">
        <f t="shared" ref="I31:I33" si="58">P43+$R$7</f>
        <v>3.2139</v>
      </c>
      <c r="J31" s="23">
        <f t="shared" ref="J31:J33" si="59">P43+T43*$W$39+$R$7</f>
        <v>4.4139</v>
      </c>
      <c r="K31" s="22">
        <f t="shared" ref="K31:K33" si="60">P43+$R$8</f>
        <v>2.9477</v>
      </c>
      <c r="L31" s="23">
        <f t="shared" ref="L31:L33" si="61">P43+T43*$W$39+$R$8</f>
        <v>4.1477</v>
      </c>
      <c r="M31" s="24">
        <f t="shared" ref="M31:M33" si="62">P43+$R$9</f>
        <v>5.1015</v>
      </c>
      <c r="N31" s="3"/>
      <c r="O31" s="3"/>
      <c r="P31" s="3"/>
      <c r="Q31" s="3"/>
      <c r="R31" s="3"/>
      <c r="U31" s="20">
        <v>300.0</v>
      </c>
    </row>
    <row r="32" ht="15.75" customHeight="1">
      <c r="A32" s="3"/>
      <c r="B32" s="37" t="s">
        <v>19</v>
      </c>
      <c r="C32" s="38">
        <f t="shared" si="52"/>
        <v>4.596</v>
      </c>
      <c r="D32" s="23">
        <f t="shared" si="53"/>
        <v>5.696</v>
      </c>
      <c r="E32" s="22">
        <f t="shared" si="54"/>
        <v>3.8488</v>
      </c>
      <c r="F32" s="23">
        <f t="shared" si="55"/>
        <v>4.9488</v>
      </c>
      <c r="G32" s="22">
        <f t="shared" si="56"/>
        <v>3.3285</v>
      </c>
      <c r="H32" s="23">
        <f t="shared" si="57"/>
        <v>4.4285</v>
      </c>
      <c r="I32" s="22">
        <f t="shared" si="58"/>
        <v>3.0139</v>
      </c>
      <c r="J32" s="23">
        <f t="shared" si="59"/>
        <v>4.1139</v>
      </c>
      <c r="K32" s="22">
        <f t="shared" si="60"/>
        <v>2.7477</v>
      </c>
      <c r="L32" s="23">
        <f t="shared" si="61"/>
        <v>3.8477</v>
      </c>
      <c r="M32" s="24">
        <f t="shared" si="62"/>
        <v>4.9015</v>
      </c>
      <c r="N32" s="3"/>
      <c r="O32" s="3"/>
      <c r="P32" s="3"/>
      <c r="Q32" s="3"/>
      <c r="R32" s="3"/>
      <c r="U32" s="20">
        <v>200.0</v>
      </c>
    </row>
    <row r="33" ht="15.75" customHeight="1">
      <c r="A33" s="13"/>
      <c r="B33" s="39" t="s">
        <v>43</v>
      </c>
      <c r="C33" s="38">
        <f t="shared" si="52"/>
        <v>4.496</v>
      </c>
      <c r="D33" s="23">
        <f t="shared" si="53"/>
        <v>5.596</v>
      </c>
      <c r="E33" s="22">
        <f t="shared" si="54"/>
        <v>3.7488</v>
      </c>
      <c r="F33" s="23">
        <f t="shared" si="55"/>
        <v>4.8488</v>
      </c>
      <c r="G33" s="22">
        <f t="shared" si="56"/>
        <v>3.2285</v>
      </c>
      <c r="H33" s="23">
        <f t="shared" si="57"/>
        <v>4.3285</v>
      </c>
      <c r="I33" s="22">
        <f t="shared" si="58"/>
        <v>2.9139</v>
      </c>
      <c r="J33" s="23">
        <f t="shared" si="59"/>
        <v>4.0139</v>
      </c>
      <c r="K33" s="22">
        <f t="shared" si="60"/>
        <v>2.6477</v>
      </c>
      <c r="L33" s="23">
        <f t="shared" si="61"/>
        <v>3.7477</v>
      </c>
      <c r="M33" s="24">
        <f t="shared" si="62"/>
        <v>4.8015</v>
      </c>
      <c r="N33" s="3"/>
      <c r="P33" s="4" t="s">
        <v>44</v>
      </c>
      <c r="Q33" s="40"/>
      <c r="R33" s="3"/>
      <c r="S33" s="3"/>
      <c r="U33" s="20">
        <f>SUM(U25:U32)</f>
        <v>18800</v>
      </c>
    </row>
    <row r="34" ht="15.75" customHeight="1">
      <c r="A34" s="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"/>
      <c r="O34" s="41" t="s">
        <v>45</v>
      </c>
      <c r="P34" s="42" t="s">
        <v>46</v>
      </c>
      <c r="Q34" s="43" t="s">
        <v>13</v>
      </c>
      <c r="R34" s="44" t="s">
        <v>16</v>
      </c>
      <c r="S34" s="45" t="s">
        <v>47</v>
      </c>
      <c r="T34" s="45" t="s">
        <v>48</v>
      </c>
    </row>
    <row r="35" ht="15.75" customHeight="1">
      <c r="A35" s="3"/>
      <c r="B35" s="6" t="s">
        <v>49</v>
      </c>
      <c r="C35" s="7" t="s">
        <v>24</v>
      </c>
      <c r="D35" s="8"/>
      <c r="E35" s="7" t="s">
        <v>25</v>
      </c>
      <c r="F35" s="8"/>
      <c r="G35" s="7" t="s">
        <v>26</v>
      </c>
      <c r="H35" s="8"/>
      <c r="I35" s="7" t="s">
        <v>27</v>
      </c>
      <c r="J35" s="8"/>
      <c r="K35" s="7" t="s">
        <v>28</v>
      </c>
      <c r="L35" s="8"/>
      <c r="M35" s="9" t="s">
        <v>8</v>
      </c>
      <c r="N35" s="3"/>
      <c r="O35" s="46" t="s">
        <v>50</v>
      </c>
      <c r="P35" s="47">
        <f t="shared" ref="P35:P40" si="63">S35*$W$38</f>
        <v>10.5</v>
      </c>
      <c r="Q35" s="48">
        <f t="shared" ref="Q35:Q40" si="64">P35*$W$36</f>
        <v>26.25</v>
      </c>
      <c r="R35" s="49">
        <f t="shared" ref="R35:R40" si="65">P35*$W$37</f>
        <v>5.25</v>
      </c>
      <c r="S35" s="50">
        <v>1.5</v>
      </c>
      <c r="T35" s="45">
        <v>1.2</v>
      </c>
    </row>
    <row r="36" ht="15.75" customHeight="1">
      <c r="A36" s="3"/>
      <c r="B36" s="14" t="s">
        <v>39</v>
      </c>
      <c r="C36" s="15" t="s">
        <v>40</v>
      </c>
      <c r="D36" s="16" t="s">
        <v>41</v>
      </c>
      <c r="E36" s="15" t="s">
        <v>40</v>
      </c>
      <c r="F36" s="16" t="s">
        <v>41</v>
      </c>
      <c r="G36" s="15" t="s">
        <v>40</v>
      </c>
      <c r="H36" s="16" t="s">
        <v>41</v>
      </c>
      <c r="I36" s="15" t="s">
        <v>40</v>
      </c>
      <c r="J36" s="16" t="s">
        <v>41</v>
      </c>
      <c r="K36" s="15" t="s">
        <v>40</v>
      </c>
      <c r="L36" s="16" t="s">
        <v>41</v>
      </c>
      <c r="M36" s="17" t="s">
        <v>40</v>
      </c>
      <c r="N36" s="3"/>
      <c r="O36" s="21" t="s">
        <v>51</v>
      </c>
      <c r="P36" s="47">
        <f t="shared" si="63"/>
        <v>9.1</v>
      </c>
      <c r="Q36" s="48">
        <f t="shared" si="64"/>
        <v>22.75</v>
      </c>
      <c r="R36" s="49">
        <f t="shared" si="65"/>
        <v>4.55</v>
      </c>
      <c r="S36" s="50">
        <v>1.3</v>
      </c>
      <c r="T36" s="45">
        <v>1.2</v>
      </c>
      <c r="U36" s="3"/>
      <c r="V36" s="51" t="s">
        <v>52</v>
      </c>
      <c r="W36" s="52">
        <v>2.5</v>
      </c>
    </row>
    <row r="37" ht="15.75" customHeight="1">
      <c r="A37" s="3"/>
      <c r="B37" s="37" t="s">
        <v>42</v>
      </c>
      <c r="C37" s="38">
        <f t="shared" ref="C37:C39" si="66">P43+$Q$4</f>
        <v>5.23</v>
      </c>
      <c r="D37" s="23">
        <f t="shared" ref="D37:D39" si="67">P43+$W$39*T43+$Q$4</f>
        <v>6.43</v>
      </c>
      <c r="E37" s="22">
        <f t="shared" ref="E37:E39" si="68">P43+$Q$5</f>
        <v>4.33678</v>
      </c>
      <c r="F37" s="23">
        <f t="shared" ref="F37:F39" si="69">P43+$W$39*T43+$Q$5</f>
        <v>5.53678</v>
      </c>
      <c r="G37" s="22">
        <f t="shared" ref="G37:G39" si="70">P43+$Q$6</f>
        <v>3.72452</v>
      </c>
      <c r="H37" s="23">
        <f t="shared" ref="H37:H39" si="71">P43+$W$39*T43+$Q$6</f>
        <v>4.92452</v>
      </c>
      <c r="I37" s="22">
        <f t="shared" ref="I37:I39" si="72">P43+$Q$7</f>
        <v>3.31675</v>
      </c>
      <c r="J37" s="23">
        <f t="shared" ref="J37:J39" si="73">P43+$W$39*T43+$Q$7</f>
        <v>4.51675</v>
      </c>
      <c r="K37" s="22">
        <f t="shared" ref="K37:K39" si="74">P43+$Q$8</f>
        <v>3.0324</v>
      </c>
      <c r="L37" s="23">
        <f t="shared" ref="L37:L39" si="75">P43+$W$39*T43+$Q$8</f>
        <v>4.2324</v>
      </c>
      <c r="M37" s="24">
        <f t="shared" ref="M37:M39" si="76">P43+$Q$9</f>
        <v>7.703</v>
      </c>
      <c r="N37" s="3"/>
      <c r="O37" s="21" t="s">
        <v>17</v>
      </c>
      <c r="P37" s="47">
        <f t="shared" si="63"/>
        <v>8.05</v>
      </c>
      <c r="Q37" s="48">
        <f t="shared" si="64"/>
        <v>20.125</v>
      </c>
      <c r="R37" s="49">
        <f t="shared" si="65"/>
        <v>4.025</v>
      </c>
      <c r="S37" s="50">
        <v>1.15</v>
      </c>
      <c r="T37" s="45">
        <v>1.1</v>
      </c>
      <c r="U37" s="3"/>
      <c r="V37" s="53" t="s">
        <v>53</v>
      </c>
      <c r="W37" s="54">
        <v>0.5</v>
      </c>
    </row>
    <row r="38" ht="15.75" customHeight="1">
      <c r="A38" s="3"/>
      <c r="B38" s="37" t="s">
        <v>19</v>
      </c>
      <c r="C38" s="38">
        <f t="shared" si="66"/>
        <v>5.03</v>
      </c>
      <c r="D38" s="23">
        <f t="shared" si="67"/>
        <v>6.13</v>
      </c>
      <c r="E38" s="22">
        <f t="shared" si="68"/>
        <v>4.13678</v>
      </c>
      <c r="F38" s="23">
        <f t="shared" si="69"/>
        <v>5.23678</v>
      </c>
      <c r="G38" s="22">
        <f t="shared" si="70"/>
        <v>3.52452</v>
      </c>
      <c r="H38" s="23">
        <f t="shared" si="71"/>
        <v>4.62452</v>
      </c>
      <c r="I38" s="22">
        <f t="shared" si="72"/>
        <v>3.11675</v>
      </c>
      <c r="J38" s="23">
        <f t="shared" si="73"/>
        <v>4.21675</v>
      </c>
      <c r="K38" s="22">
        <f t="shared" si="74"/>
        <v>2.8324</v>
      </c>
      <c r="L38" s="23">
        <f t="shared" si="75"/>
        <v>3.9324</v>
      </c>
      <c r="M38" s="24">
        <f t="shared" si="76"/>
        <v>7.503</v>
      </c>
      <c r="N38" s="32"/>
      <c r="O38" s="21" t="s">
        <v>18</v>
      </c>
      <c r="P38" s="47">
        <f t="shared" si="63"/>
        <v>7.7</v>
      </c>
      <c r="Q38" s="48">
        <f t="shared" si="64"/>
        <v>19.25</v>
      </c>
      <c r="R38" s="49">
        <f t="shared" si="65"/>
        <v>3.85</v>
      </c>
      <c r="S38" s="50">
        <v>1.1</v>
      </c>
      <c r="T38" s="45">
        <v>1.05</v>
      </c>
      <c r="U38" s="3"/>
      <c r="V38" s="51" t="s">
        <v>54</v>
      </c>
      <c r="W38" s="55">
        <v>7.0</v>
      </c>
    </row>
    <row r="39" ht="15.75" customHeight="1">
      <c r="A39" s="3"/>
      <c r="B39" s="39" t="s">
        <v>43</v>
      </c>
      <c r="C39" s="38">
        <f t="shared" si="66"/>
        <v>4.93</v>
      </c>
      <c r="D39" s="23">
        <f t="shared" si="67"/>
        <v>6.03</v>
      </c>
      <c r="E39" s="22">
        <f t="shared" si="68"/>
        <v>4.03678</v>
      </c>
      <c r="F39" s="23">
        <f t="shared" si="69"/>
        <v>5.13678</v>
      </c>
      <c r="G39" s="22">
        <f t="shared" si="70"/>
        <v>3.42452</v>
      </c>
      <c r="H39" s="23">
        <f t="shared" si="71"/>
        <v>4.52452</v>
      </c>
      <c r="I39" s="22">
        <f t="shared" si="72"/>
        <v>3.01675</v>
      </c>
      <c r="J39" s="23">
        <f t="shared" si="73"/>
        <v>4.11675</v>
      </c>
      <c r="K39" s="22">
        <f t="shared" si="74"/>
        <v>2.7324</v>
      </c>
      <c r="L39" s="23">
        <f t="shared" si="75"/>
        <v>3.8324</v>
      </c>
      <c r="M39" s="24">
        <f t="shared" si="76"/>
        <v>7.403</v>
      </c>
      <c r="N39" s="32"/>
      <c r="O39" s="21" t="s">
        <v>19</v>
      </c>
      <c r="P39" s="47">
        <f t="shared" si="63"/>
        <v>7.35</v>
      </c>
      <c r="Q39" s="48">
        <f t="shared" si="64"/>
        <v>18.375</v>
      </c>
      <c r="R39" s="49">
        <f t="shared" si="65"/>
        <v>3.675</v>
      </c>
      <c r="S39" s="50">
        <v>1.05</v>
      </c>
      <c r="T39" s="45">
        <v>1.05</v>
      </c>
      <c r="U39" s="3"/>
      <c r="V39" s="51" t="s">
        <v>55</v>
      </c>
      <c r="W39" s="55">
        <v>1.0</v>
      </c>
    </row>
    <row r="40" ht="15.75" customHeight="1">
      <c r="A40" s="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"/>
      <c r="O40" s="21" t="s">
        <v>56</v>
      </c>
      <c r="P40" s="47">
        <f t="shared" si="63"/>
        <v>7</v>
      </c>
      <c r="Q40" s="48">
        <f t="shared" si="64"/>
        <v>17.5</v>
      </c>
      <c r="R40" s="49">
        <f t="shared" si="65"/>
        <v>3.5</v>
      </c>
      <c r="S40" s="50">
        <v>1.0</v>
      </c>
      <c r="T40" s="45">
        <v>1.05</v>
      </c>
      <c r="U40" s="3"/>
      <c r="V40" s="20"/>
    </row>
    <row r="41" ht="15.75" customHeight="1">
      <c r="B41" s="6" t="s">
        <v>13</v>
      </c>
      <c r="C41" s="7" t="s">
        <v>24</v>
      </c>
      <c r="D41" s="8"/>
      <c r="E41" s="7" t="s">
        <v>25</v>
      </c>
      <c r="F41" s="8"/>
      <c r="G41" s="7" t="s">
        <v>26</v>
      </c>
      <c r="H41" s="8"/>
      <c r="I41" s="7" t="s">
        <v>27</v>
      </c>
      <c r="J41" s="8"/>
      <c r="K41" s="7" t="s">
        <v>28</v>
      </c>
      <c r="L41" s="8"/>
      <c r="M41" s="9" t="s">
        <v>8</v>
      </c>
      <c r="N41" s="3"/>
      <c r="Q41" s="40"/>
      <c r="U41" s="3"/>
      <c r="V41" s="20"/>
    </row>
    <row r="42" ht="15.75" customHeight="1">
      <c r="B42" s="14" t="s">
        <v>39</v>
      </c>
      <c r="C42" s="15" t="s">
        <v>40</v>
      </c>
      <c r="D42" s="16" t="s">
        <v>41</v>
      </c>
      <c r="E42" s="15" t="s">
        <v>40</v>
      </c>
      <c r="F42" s="16" t="s">
        <v>41</v>
      </c>
      <c r="G42" s="15" t="s">
        <v>40</v>
      </c>
      <c r="H42" s="16" t="s">
        <v>41</v>
      </c>
      <c r="I42" s="15" t="s">
        <v>40</v>
      </c>
      <c r="J42" s="16" t="s">
        <v>41</v>
      </c>
      <c r="K42" s="15" t="s">
        <v>40</v>
      </c>
      <c r="L42" s="16" t="s">
        <v>41</v>
      </c>
      <c r="M42" s="17" t="s">
        <v>40</v>
      </c>
      <c r="N42" s="3"/>
      <c r="O42" s="41" t="s">
        <v>57</v>
      </c>
      <c r="P42" s="56" t="s">
        <v>46</v>
      </c>
      <c r="Q42" s="43" t="s">
        <v>13</v>
      </c>
      <c r="R42" s="57" t="s">
        <v>16</v>
      </c>
      <c r="S42" s="45" t="s">
        <v>58</v>
      </c>
      <c r="T42" s="45" t="s">
        <v>59</v>
      </c>
      <c r="U42" s="3"/>
      <c r="V42" s="20"/>
    </row>
    <row r="43" ht="15.75" customHeight="1">
      <c r="B43" s="37" t="s">
        <v>42</v>
      </c>
      <c r="C43" s="38">
        <f t="shared" ref="C43:C45" si="77">Q43+$P$4</f>
        <v>9.89</v>
      </c>
      <c r="D43" s="23">
        <f t="shared" ref="D43:D45" si="78">Q43+$W$39*T43+$P$4</f>
        <v>11.09</v>
      </c>
      <c r="E43" s="22">
        <f t="shared" ref="E43:E45" si="79">Q43+$P$5</f>
        <v>8.69904</v>
      </c>
      <c r="F43" s="23">
        <f t="shared" ref="F43:F45" si="80">P43+$W$39*T43+$P$5</f>
        <v>6.14904</v>
      </c>
      <c r="G43" s="22">
        <f t="shared" ref="G43:G45" si="81">Q43+$P$6</f>
        <v>7.88229</v>
      </c>
      <c r="H43" s="23">
        <f t="shared" ref="H43:H45" si="82">Q43+$W$39*T43+$P$6</f>
        <v>9.08229</v>
      </c>
      <c r="I43" s="22">
        <f t="shared" ref="I43:I45" si="83">Q43+$P$7</f>
        <v>7.339</v>
      </c>
      <c r="J43" s="23">
        <f t="shared" ref="J43:J45" si="84">Q43+$W$39*T43+$P$7</f>
        <v>8.539</v>
      </c>
      <c r="K43" s="22">
        <f t="shared" ref="K43:K45" si="85">Q43+$P$8</f>
        <v>6.25</v>
      </c>
      <c r="L43" s="23">
        <f t="shared" ref="L43:L45" si="86">Q43+$W$39*T43+$P$8</f>
        <v>7.45</v>
      </c>
      <c r="M43" s="24">
        <f t="shared" ref="M43:M45" si="87">Q43+$P$9</f>
        <v>11.453</v>
      </c>
      <c r="N43" s="3"/>
      <c r="O43" s="37" t="s">
        <v>42</v>
      </c>
      <c r="P43" s="58">
        <f t="shared" ref="P43:P45" si="88">$W$39*S43</f>
        <v>2.5</v>
      </c>
      <c r="Q43" s="48">
        <f t="shared" ref="Q43:Q45" si="89">P43*$W$36</f>
        <v>6.25</v>
      </c>
      <c r="R43" s="59">
        <f t="shared" ref="R43:R45" si="90">P43*$W$37</f>
        <v>1.25</v>
      </c>
      <c r="S43" s="50">
        <v>2.5</v>
      </c>
      <c r="T43" s="45">
        <v>1.2</v>
      </c>
      <c r="U43" s="3"/>
      <c r="V43" s="20"/>
    </row>
    <row r="44" ht="15.75" customHeight="1">
      <c r="B44" s="37" t="s">
        <v>19</v>
      </c>
      <c r="C44" s="38">
        <f t="shared" si="77"/>
        <v>9.39</v>
      </c>
      <c r="D44" s="23">
        <f t="shared" si="78"/>
        <v>10.49</v>
      </c>
      <c r="E44" s="22">
        <f t="shared" si="79"/>
        <v>8.19904</v>
      </c>
      <c r="F44" s="23">
        <f t="shared" si="80"/>
        <v>5.84904</v>
      </c>
      <c r="G44" s="22">
        <f t="shared" si="81"/>
        <v>7.38229</v>
      </c>
      <c r="H44" s="23">
        <f t="shared" si="82"/>
        <v>8.48229</v>
      </c>
      <c r="I44" s="22">
        <f t="shared" si="83"/>
        <v>6.839</v>
      </c>
      <c r="J44" s="23">
        <f t="shared" si="84"/>
        <v>7.939</v>
      </c>
      <c r="K44" s="22">
        <f t="shared" si="85"/>
        <v>5.75</v>
      </c>
      <c r="L44" s="23">
        <f t="shared" si="86"/>
        <v>6.85</v>
      </c>
      <c r="M44" s="24">
        <f t="shared" si="87"/>
        <v>10.953</v>
      </c>
      <c r="N44" s="3"/>
      <c r="O44" s="37" t="s">
        <v>19</v>
      </c>
      <c r="P44" s="58">
        <f t="shared" si="88"/>
        <v>2.3</v>
      </c>
      <c r="Q44" s="48">
        <f t="shared" si="89"/>
        <v>5.75</v>
      </c>
      <c r="R44" s="59">
        <f t="shared" si="90"/>
        <v>1.15</v>
      </c>
      <c r="S44" s="50">
        <v>2.3</v>
      </c>
      <c r="T44" s="45">
        <v>1.1</v>
      </c>
      <c r="U44" s="3"/>
    </row>
    <row r="45" ht="15.75" customHeight="1">
      <c r="B45" s="39" t="s">
        <v>43</v>
      </c>
      <c r="C45" s="38">
        <f t="shared" si="77"/>
        <v>9.14</v>
      </c>
      <c r="D45" s="23">
        <f t="shared" si="78"/>
        <v>10.24</v>
      </c>
      <c r="E45" s="22">
        <f t="shared" si="79"/>
        <v>7.94904</v>
      </c>
      <c r="F45" s="23">
        <f t="shared" si="80"/>
        <v>5.74904</v>
      </c>
      <c r="G45" s="22">
        <f t="shared" si="81"/>
        <v>7.13229</v>
      </c>
      <c r="H45" s="23">
        <f t="shared" si="82"/>
        <v>8.23229</v>
      </c>
      <c r="I45" s="22">
        <f t="shared" si="83"/>
        <v>6.589</v>
      </c>
      <c r="J45" s="23">
        <f t="shared" si="84"/>
        <v>7.689</v>
      </c>
      <c r="K45" s="22">
        <f t="shared" si="85"/>
        <v>5.5</v>
      </c>
      <c r="L45" s="23">
        <f t="shared" si="86"/>
        <v>6.6</v>
      </c>
      <c r="M45" s="24">
        <f t="shared" si="87"/>
        <v>10.703</v>
      </c>
      <c r="N45" s="3"/>
      <c r="O45" s="39" t="s">
        <v>43</v>
      </c>
      <c r="P45" s="58">
        <f t="shared" si="88"/>
        <v>2.2</v>
      </c>
      <c r="Q45" s="48">
        <f t="shared" si="89"/>
        <v>5.5</v>
      </c>
      <c r="R45" s="59">
        <f t="shared" si="90"/>
        <v>1.1</v>
      </c>
      <c r="S45" s="50">
        <v>2.2</v>
      </c>
      <c r="T45" s="45">
        <v>1.1</v>
      </c>
    </row>
    <row r="46" ht="15.75" customHeight="1">
      <c r="A46" s="13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"/>
      <c r="Q46" s="40"/>
      <c r="S46" s="50"/>
      <c r="T46" s="45"/>
    </row>
    <row r="47" ht="15.75" customHeight="1">
      <c r="A47" s="3"/>
      <c r="B47" s="6" t="s">
        <v>16</v>
      </c>
      <c r="C47" s="7" t="s">
        <v>24</v>
      </c>
      <c r="D47" s="8"/>
      <c r="E47" s="7" t="s">
        <v>25</v>
      </c>
      <c r="F47" s="8"/>
      <c r="G47" s="7" t="s">
        <v>26</v>
      </c>
      <c r="H47" s="8"/>
      <c r="I47" s="7" t="s">
        <v>27</v>
      </c>
      <c r="J47" s="8"/>
      <c r="K47" s="7" t="s">
        <v>28</v>
      </c>
      <c r="L47" s="8"/>
      <c r="M47" s="9" t="s">
        <v>8</v>
      </c>
      <c r="N47" s="3"/>
      <c r="O47" s="3"/>
      <c r="P47" s="3"/>
      <c r="V47" s="36"/>
    </row>
    <row r="48" ht="15.75" customHeight="1">
      <c r="A48" s="3"/>
      <c r="B48" s="14" t="s">
        <v>39</v>
      </c>
      <c r="C48" s="15" t="s">
        <v>40</v>
      </c>
      <c r="D48" s="16" t="s">
        <v>41</v>
      </c>
      <c r="E48" s="15" t="s">
        <v>40</v>
      </c>
      <c r="F48" s="16" t="s">
        <v>41</v>
      </c>
      <c r="G48" s="15" t="s">
        <v>40</v>
      </c>
      <c r="H48" s="16" t="s">
        <v>41</v>
      </c>
      <c r="I48" s="15" t="s">
        <v>40</v>
      </c>
      <c r="J48" s="16" t="s">
        <v>41</v>
      </c>
      <c r="K48" s="15" t="s">
        <v>40</v>
      </c>
      <c r="L48" s="16" t="s">
        <v>41</v>
      </c>
      <c r="M48" s="17" t="s">
        <v>40</v>
      </c>
      <c r="N48" s="3"/>
      <c r="V48" s="36"/>
    </row>
    <row r="49" ht="15.75" customHeight="1">
      <c r="A49" s="3"/>
      <c r="B49" s="37" t="s">
        <v>42</v>
      </c>
      <c r="C49" s="38">
        <f t="shared" ref="C49:C51" si="91">R43+$S$4</f>
        <v>2.748</v>
      </c>
      <c r="D49" s="23">
        <f t="shared" ref="D49:D51" si="92">R43+$W$39*T43+$S$4</f>
        <v>3.948</v>
      </c>
      <c r="E49" s="22">
        <f t="shared" ref="E49:E51" si="93">R43+$S$5</f>
        <v>2.3269</v>
      </c>
      <c r="F49" s="23">
        <f t="shared" ref="F49:F51" si="94">R43+$W$39*T43+$S$5</f>
        <v>3.5269</v>
      </c>
      <c r="G49" s="22">
        <f t="shared" ref="G49:G51" si="95">R43+$S$6</f>
        <v>2.0728</v>
      </c>
      <c r="H49" s="23">
        <f t="shared" ref="H49:H51" si="96">R43+$W$39*T43+$S$6</f>
        <v>3.2728</v>
      </c>
      <c r="I49" s="22">
        <f t="shared" ref="I49:I51" si="97">R43+$S$7</f>
        <v>1.9034</v>
      </c>
      <c r="J49" s="23">
        <f t="shared" ref="J49:J51" si="98">R43+$W$39*T43+$S$7</f>
        <v>3.1034</v>
      </c>
      <c r="K49" s="22">
        <f t="shared" ref="K49:K51" si="99">R43+$S$8</f>
        <v>1.7824</v>
      </c>
      <c r="L49" s="23">
        <f t="shared" ref="L49:L51" si="100">R43+$W$39*T43+$S$8</f>
        <v>2.9824</v>
      </c>
      <c r="M49" s="24">
        <f t="shared" ref="M49:M51" si="101">R43+$S$9</f>
        <v>2.8593</v>
      </c>
      <c r="N49" s="3"/>
      <c r="V49" s="36"/>
    </row>
    <row r="50" ht="15.75" customHeight="1">
      <c r="A50" s="3"/>
      <c r="B50" s="37" t="s">
        <v>19</v>
      </c>
      <c r="C50" s="38">
        <f t="shared" si="91"/>
        <v>2.648</v>
      </c>
      <c r="D50" s="23">
        <f t="shared" si="92"/>
        <v>3.748</v>
      </c>
      <c r="E50" s="22">
        <f t="shared" si="93"/>
        <v>2.2269</v>
      </c>
      <c r="F50" s="23">
        <f t="shared" si="94"/>
        <v>3.3269</v>
      </c>
      <c r="G50" s="22">
        <f t="shared" si="95"/>
        <v>1.9728</v>
      </c>
      <c r="H50" s="23">
        <f t="shared" si="96"/>
        <v>3.0728</v>
      </c>
      <c r="I50" s="22">
        <f t="shared" si="97"/>
        <v>1.8034</v>
      </c>
      <c r="J50" s="23">
        <f t="shared" si="98"/>
        <v>2.9034</v>
      </c>
      <c r="K50" s="22">
        <f t="shared" si="99"/>
        <v>1.6824</v>
      </c>
      <c r="L50" s="23">
        <f t="shared" si="100"/>
        <v>2.7824</v>
      </c>
      <c r="M50" s="24">
        <f t="shared" si="101"/>
        <v>2.7593</v>
      </c>
      <c r="N50" s="3"/>
      <c r="V50" s="36"/>
    </row>
    <row r="51" ht="15.75" customHeight="1">
      <c r="A51" s="3"/>
      <c r="B51" s="39" t="s">
        <v>43</v>
      </c>
      <c r="C51" s="38">
        <f t="shared" si="91"/>
        <v>2.598</v>
      </c>
      <c r="D51" s="23">
        <f t="shared" si="92"/>
        <v>3.698</v>
      </c>
      <c r="E51" s="22">
        <f t="shared" si="93"/>
        <v>2.1769</v>
      </c>
      <c r="F51" s="23">
        <f t="shared" si="94"/>
        <v>3.2769</v>
      </c>
      <c r="G51" s="22">
        <f t="shared" si="95"/>
        <v>1.9228</v>
      </c>
      <c r="H51" s="23">
        <f t="shared" si="96"/>
        <v>3.0228</v>
      </c>
      <c r="I51" s="22">
        <f t="shared" si="97"/>
        <v>1.7534</v>
      </c>
      <c r="J51" s="23">
        <f t="shared" si="98"/>
        <v>2.8534</v>
      </c>
      <c r="K51" s="22">
        <f t="shared" si="99"/>
        <v>1.6324</v>
      </c>
      <c r="L51" s="23">
        <f t="shared" si="100"/>
        <v>2.7324</v>
      </c>
      <c r="M51" s="24">
        <f t="shared" si="101"/>
        <v>2.7093</v>
      </c>
      <c r="N51" s="3"/>
      <c r="V51" s="36"/>
    </row>
    <row r="52" ht="15.75" customHeight="1">
      <c r="A52" s="3"/>
      <c r="N52" s="3"/>
      <c r="V52" s="36"/>
    </row>
    <row r="53" ht="15.75" customHeight="1">
      <c r="A53" s="3"/>
    </row>
    <row r="54" ht="15.75" customHeight="1">
      <c r="R54" s="3">
        <f>T54*S54</f>
        <v>0.63</v>
      </c>
      <c r="S54" s="3">
        <v>0.21</v>
      </c>
      <c r="T54" s="3">
        <v>3.0</v>
      </c>
    </row>
    <row r="55" ht="15.75" customHeight="1">
      <c r="R55" s="20">
        <f>S55*T55</f>
        <v>0.625</v>
      </c>
      <c r="S55" s="3">
        <v>0.25</v>
      </c>
      <c r="T55" s="3">
        <v>2.5</v>
      </c>
    </row>
    <row r="56" ht="15.75" customHeight="1"/>
    <row r="57" ht="15.75" customHeight="1">
      <c r="A57" s="13"/>
    </row>
    <row r="58" ht="15.75" customHeight="1">
      <c r="A58" s="3"/>
      <c r="S58" s="20">
        <f>R55/3</f>
        <v>0.2083333333</v>
      </c>
    </row>
    <row r="59" ht="15.75" customHeight="1">
      <c r="A59" s="3"/>
    </row>
    <row r="60" ht="15.75" customHeight="1">
      <c r="A60" s="3"/>
      <c r="N60" s="3"/>
    </row>
    <row r="61" ht="15.75" customHeight="1">
      <c r="A61" s="3"/>
      <c r="N61" s="3"/>
    </row>
    <row r="62" ht="15.75" customHeight="1">
      <c r="A62" s="3"/>
      <c r="N62" s="3"/>
    </row>
    <row r="63" ht="15.75" customHeight="1">
      <c r="A63" s="3"/>
      <c r="N63" s="3"/>
    </row>
    <row r="64" ht="15.75" customHeight="1">
      <c r="A64" s="3"/>
      <c r="N64" s="3"/>
    </row>
    <row r="65" ht="15.75" customHeight="1">
      <c r="A65" s="3"/>
      <c r="N65" s="32"/>
    </row>
    <row r="66" ht="15.75" customHeight="1">
      <c r="A66" s="3"/>
      <c r="N66" s="32"/>
    </row>
    <row r="67" ht="15.75" customHeight="1">
      <c r="A67" s="13"/>
      <c r="N67" s="3"/>
    </row>
    <row r="68" ht="15.75" customHeight="1">
      <c r="A68" s="3"/>
      <c r="N68" s="3"/>
      <c r="O68" s="3"/>
      <c r="P68" s="3"/>
    </row>
    <row r="69" ht="15.75" customHeight="1">
      <c r="A69" s="3"/>
      <c r="N69" s="3"/>
      <c r="O69" s="3"/>
      <c r="P69" s="3"/>
    </row>
    <row r="70" ht="15.75" customHeight="1">
      <c r="A70" s="3"/>
      <c r="N70" s="3"/>
      <c r="O70" s="3"/>
      <c r="P70" s="3"/>
    </row>
    <row r="71" ht="15.75" customHeight="1">
      <c r="A71" s="3"/>
      <c r="N71" s="3"/>
      <c r="O71" s="3"/>
      <c r="P71" s="3"/>
    </row>
    <row r="72" ht="15.75" customHeight="1">
      <c r="A72" s="3"/>
      <c r="N72" s="3"/>
      <c r="O72" s="3"/>
      <c r="P72" s="3"/>
    </row>
    <row r="73" ht="15.75" customHeight="1">
      <c r="A73" s="3"/>
      <c r="N73" s="3"/>
      <c r="O73" s="3"/>
      <c r="P73" s="3"/>
    </row>
    <row r="74" ht="15.75" customHeight="1">
      <c r="A74" s="3"/>
      <c r="N74" s="3"/>
      <c r="O74" s="3"/>
      <c r="P74" s="3"/>
    </row>
    <row r="75" ht="15.75" customHeight="1">
      <c r="A75" s="3"/>
      <c r="N75" s="3"/>
      <c r="O75" s="3"/>
      <c r="P75" s="3"/>
    </row>
    <row r="76" ht="15.75" customHeight="1">
      <c r="A76" s="3"/>
      <c r="N76" s="3"/>
      <c r="O76" s="3"/>
      <c r="P76" s="3"/>
    </row>
    <row r="77" ht="15.75" customHeight="1">
      <c r="A77" s="13"/>
      <c r="N77" s="3"/>
      <c r="O77" s="3"/>
      <c r="P77" s="3"/>
    </row>
    <row r="78" ht="15.75" customHeight="1">
      <c r="A78" s="3"/>
      <c r="N78" s="3"/>
      <c r="O78" s="3"/>
      <c r="P78" s="3"/>
    </row>
    <row r="79" ht="15.75" customHeight="1">
      <c r="A79" s="3"/>
      <c r="N79" s="3"/>
      <c r="O79" s="3"/>
      <c r="P79" s="3"/>
    </row>
    <row r="80" ht="15.75" customHeight="1">
      <c r="A80" s="3"/>
      <c r="N80" s="3"/>
      <c r="O80" s="3"/>
      <c r="P80" s="3"/>
    </row>
    <row r="81" ht="15.75" customHeight="1">
      <c r="A81" s="3"/>
      <c r="N81" s="3"/>
      <c r="O81" s="3"/>
      <c r="P81" s="3"/>
    </row>
    <row r="82" ht="15.75" customHeight="1">
      <c r="A82" s="3"/>
      <c r="N82" s="3"/>
      <c r="O82" s="3"/>
      <c r="P82" s="3"/>
    </row>
    <row r="83" ht="15.75" customHeight="1">
      <c r="A83" s="3"/>
      <c r="N83" s="3"/>
      <c r="O83" s="3"/>
      <c r="P83" s="3"/>
    </row>
    <row r="84" ht="15.75" customHeight="1">
      <c r="A84" s="3"/>
      <c r="N84" s="3"/>
      <c r="O84" s="3"/>
      <c r="P84" s="3"/>
    </row>
    <row r="85" ht="15.75" customHeight="1">
      <c r="A85" s="3"/>
      <c r="N85" s="3"/>
      <c r="O85" s="3"/>
      <c r="P85" s="3"/>
    </row>
    <row r="86" ht="15.75" customHeight="1">
      <c r="A86" s="3"/>
      <c r="N86" s="3"/>
      <c r="O86" s="3"/>
      <c r="P86" s="3"/>
    </row>
    <row r="87" ht="15.75" customHeight="1">
      <c r="N87" s="3"/>
      <c r="O87" s="3"/>
      <c r="P87" s="3"/>
    </row>
    <row r="88" ht="15.75" customHeight="1">
      <c r="N88" s="3"/>
      <c r="O88" s="3"/>
      <c r="P88" s="3"/>
    </row>
    <row r="89" ht="15.75" customHeight="1">
      <c r="N89" s="3"/>
      <c r="O89" s="3"/>
      <c r="P89" s="3"/>
    </row>
    <row r="90" ht="15.75" customHeight="1">
      <c r="N90" s="3"/>
      <c r="O90" s="3"/>
      <c r="P90" s="3"/>
    </row>
    <row r="91" ht="15.75" customHeight="1">
      <c r="N91" s="3"/>
      <c r="O91" s="3"/>
      <c r="P91" s="3"/>
    </row>
    <row r="92" ht="15.75" customHeight="1">
      <c r="N92" s="3"/>
      <c r="O92" s="3"/>
      <c r="P92" s="3"/>
    </row>
    <row r="93" ht="15.75" customHeight="1">
      <c r="N93" s="3"/>
      <c r="O93" s="3"/>
      <c r="P93" s="3"/>
    </row>
    <row r="94" ht="15.75" customHeight="1">
      <c r="N94" s="3"/>
      <c r="O94" s="3"/>
      <c r="P94" s="3"/>
    </row>
    <row r="95" ht="15.75" customHeight="1">
      <c r="N95" s="3"/>
      <c r="O95" s="3"/>
      <c r="P95" s="3"/>
    </row>
    <row r="96" ht="15.75" customHeight="1">
      <c r="N96" s="3"/>
      <c r="O96" s="3"/>
      <c r="P96" s="3"/>
    </row>
    <row r="97" ht="15.75" customHeight="1">
      <c r="N97" s="3"/>
      <c r="O97" s="3"/>
      <c r="P97" s="3"/>
    </row>
    <row r="98" ht="15.75" customHeight="1">
      <c r="N98" s="3"/>
      <c r="O98" s="3"/>
      <c r="P98" s="3"/>
    </row>
    <row r="99" ht="15.75" customHeight="1">
      <c r="N99" s="3"/>
      <c r="O99" s="3"/>
      <c r="P99" s="3"/>
    </row>
    <row r="100" ht="15.75" customHeight="1">
      <c r="N100" s="3"/>
      <c r="O100" s="3"/>
      <c r="P100" s="3"/>
    </row>
    <row r="101" ht="15.75" customHeight="1">
      <c r="N101" s="3"/>
      <c r="O101" s="3"/>
      <c r="P101" s="3"/>
    </row>
    <row r="102" ht="15.75" customHeight="1">
      <c r="N102" s="3"/>
      <c r="O102" s="3"/>
      <c r="P102" s="3"/>
    </row>
    <row r="103" ht="15.75" customHeight="1">
      <c r="N103" s="3"/>
      <c r="O103" s="3"/>
      <c r="P103" s="3"/>
    </row>
    <row r="104" ht="15.75" customHeight="1">
      <c r="N104" s="3"/>
      <c r="O104" s="3"/>
      <c r="P104" s="3"/>
    </row>
    <row r="105" ht="15.75" customHeight="1">
      <c r="N105" s="3"/>
      <c r="O105" s="3"/>
      <c r="P105" s="3"/>
    </row>
    <row r="106" ht="15.75" customHeight="1">
      <c r="N106" s="3"/>
      <c r="O106" s="3"/>
      <c r="P106" s="3"/>
    </row>
    <row r="107" ht="15.75" customHeight="1">
      <c r="N107" s="3"/>
      <c r="O107" s="3"/>
      <c r="P107" s="3"/>
    </row>
    <row r="108" ht="15.75" customHeight="1">
      <c r="N108" s="3"/>
      <c r="O108" s="3"/>
      <c r="P108" s="3"/>
    </row>
    <row r="109" ht="15.75" customHeight="1">
      <c r="N109" s="3"/>
      <c r="O109" s="3"/>
      <c r="P109" s="3"/>
    </row>
    <row r="110" ht="15.75" customHeight="1">
      <c r="N110" s="3"/>
      <c r="O110" s="3"/>
      <c r="P110" s="3"/>
    </row>
    <row r="111" ht="15.75" customHeight="1">
      <c r="N111" s="3"/>
      <c r="O111" s="3"/>
      <c r="P111" s="3"/>
    </row>
    <row r="112" ht="15.75" customHeight="1">
      <c r="N112" s="3"/>
      <c r="O112" s="3"/>
      <c r="P112" s="3"/>
    </row>
    <row r="113" ht="15.75" customHeight="1">
      <c r="N113" s="3"/>
      <c r="O113" s="3"/>
      <c r="P113" s="3"/>
    </row>
    <row r="114" ht="15.75" customHeight="1">
      <c r="N114" s="3"/>
      <c r="O114" s="3"/>
      <c r="P114" s="3"/>
    </row>
    <row r="115" ht="15.75" customHeight="1">
      <c r="N115" s="3"/>
      <c r="O115" s="3"/>
      <c r="P115" s="3"/>
    </row>
    <row r="116" ht="15.75" customHeight="1">
      <c r="N116" s="3"/>
      <c r="O116" s="3"/>
      <c r="P116" s="3"/>
    </row>
    <row r="117" ht="15.75" customHeight="1">
      <c r="N117" s="3"/>
      <c r="O117" s="3"/>
      <c r="P117" s="3"/>
    </row>
    <row r="118" ht="15.75" customHeight="1">
      <c r="N118" s="3"/>
      <c r="O118" s="3"/>
      <c r="P118" s="3"/>
    </row>
    <row r="119" ht="15.75" customHeight="1">
      <c r="N119" s="3"/>
      <c r="O119" s="3"/>
      <c r="P119" s="3"/>
    </row>
    <row r="120" ht="15.75" customHeight="1">
      <c r="N120" s="3"/>
      <c r="O120" s="3"/>
      <c r="P120" s="3"/>
    </row>
    <row r="121" ht="15.75" customHeight="1">
      <c r="N121" s="3"/>
      <c r="O121" s="3"/>
      <c r="P121" s="3"/>
    </row>
    <row r="122" ht="15.75" customHeight="1">
      <c r="N122" s="3"/>
      <c r="O122" s="3"/>
      <c r="P122" s="3"/>
    </row>
    <row r="123" ht="15.75" customHeight="1">
      <c r="N123" s="3"/>
      <c r="O123" s="3"/>
      <c r="P123" s="3"/>
    </row>
    <row r="124" ht="15.75" customHeight="1">
      <c r="N124" s="3"/>
      <c r="O124" s="3"/>
      <c r="P124" s="3"/>
    </row>
    <row r="125" ht="15.75" customHeight="1">
      <c r="N125" s="3"/>
      <c r="O125" s="3"/>
      <c r="P125" s="3"/>
    </row>
    <row r="126" ht="15.75" customHeight="1">
      <c r="N126" s="3"/>
      <c r="O126" s="3"/>
      <c r="P126" s="3"/>
    </row>
    <row r="127" ht="15.75" customHeight="1">
      <c r="N127" s="3"/>
      <c r="O127" s="3"/>
      <c r="P127" s="3"/>
    </row>
    <row r="128" ht="15.75" customHeight="1">
      <c r="N128" s="3"/>
      <c r="O128" s="3"/>
      <c r="P128" s="3"/>
    </row>
    <row r="129" ht="15.75" customHeight="1">
      <c r="N129" s="3"/>
      <c r="O129" s="3"/>
      <c r="P129" s="3"/>
    </row>
    <row r="130" ht="15.75" customHeight="1">
      <c r="N130" s="3"/>
      <c r="O130" s="3"/>
      <c r="P130" s="3"/>
    </row>
    <row r="131" ht="15.75" customHeight="1">
      <c r="N131" s="3"/>
      <c r="O131" s="3"/>
      <c r="P131" s="3"/>
    </row>
    <row r="132" ht="15.75" customHeight="1">
      <c r="N132" s="3"/>
      <c r="O132" s="3"/>
      <c r="P132" s="3"/>
    </row>
    <row r="133" ht="15.75" customHeight="1">
      <c r="N133" s="3"/>
      <c r="O133" s="3"/>
      <c r="P133" s="3"/>
    </row>
    <row r="134" ht="15.75" customHeight="1">
      <c r="N134" s="3"/>
      <c r="O134" s="3"/>
      <c r="P134" s="3"/>
    </row>
    <row r="135" ht="15.75" customHeight="1">
      <c r="N135" s="3"/>
      <c r="O135" s="3"/>
      <c r="P135" s="3"/>
    </row>
    <row r="136" ht="15.75" customHeight="1">
      <c r="N136" s="3"/>
      <c r="O136" s="3"/>
      <c r="P136" s="3"/>
    </row>
    <row r="137" ht="15.75" customHeight="1">
      <c r="N137" s="3"/>
      <c r="O137" s="3"/>
      <c r="P137" s="3"/>
    </row>
    <row r="138" ht="15.75" customHeight="1">
      <c r="N138" s="3"/>
      <c r="O138" s="3"/>
      <c r="P138" s="3"/>
    </row>
    <row r="139" ht="15.75" customHeight="1">
      <c r="N139" s="3"/>
      <c r="O139" s="3"/>
      <c r="P139" s="3"/>
    </row>
    <row r="140" ht="15.75" customHeight="1">
      <c r="N140" s="3"/>
      <c r="O140" s="3"/>
      <c r="P140" s="3"/>
    </row>
    <row r="141" ht="15.75" customHeight="1">
      <c r="N141" s="3"/>
      <c r="O141" s="3"/>
      <c r="P141" s="3"/>
    </row>
    <row r="142" ht="15.75" customHeight="1">
      <c r="N142" s="3"/>
      <c r="O142" s="3"/>
      <c r="P142" s="3"/>
    </row>
    <row r="143" ht="15.75" customHeight="1">
      <c r="N143" s="3"/>
      <c r="O143" s="3"/>
      <c r="P143" s="3"/>
    </row>
    <row r="144" ht="15.75" customHeight="1">
      <c r="N144" s="3"/>
      <c r="O144" s="3"/>
      <c r="P144" s="3"/>
    </row>
    <row r="145" ht="15.75" customHeight="1">
      <c r="N145" s="3"/>
      <c r="O145" s="3"/>
      <c r="P145" s="3"/>
    </row>
    <row r="146" ht="15.75" customHeight="1">
      <c r="N146" s="3"/>
      <c r="O146" s="3"/>
      <c r="P146" s="3"/>
    </row>
    <row r="147" ht="15.75" customHeight="1">
      <c r="N147" s="3"/>
      <c r="O147" s="3"/>
      <c r="P147" s="3"/>
    </row>
    <row r="148" ht="15.75" customHeight="1">
      <c r="N148" s="3"/>
      <c r="O148" s="3"/>
      <c r="P148" s="3"/>
    </row>
    <row r="149" ht="15.75" customHeight="1">
      <c r="N149" s="3"/>
      <c r="O149" s="3"/>
      <c r="P149" s="3"/>
    </row>
    <row r="150" ht="15.75" customHeight="1">
      <c r="N150" s="3"/>
      <c r="O150" s="3"/>
      <c r="P150" s="3"/>
    </row>
    <row r="151" ht="15.75" customHeight="1">
      <c r="N151" s="3"/>
      <c r="O151" s="3"/>
      <c r="P151" s="3"/>
    </row>
    <row r="152" ht="15.75" customHeight="1">
      <c r="N152" s="3"/>
      <c r="O152" s="3"/>
      <c r="P152" s="3"/>
    </row>
    <row r="153" ht="15.75" customHeight="1">
      <c r="N153" s="3"/>
      <c r="O153" s="3"/>
      <c r="P153" s="3"/>
    </row>
    <row r="154" ht="15.75" customHeight="1">
      <c r="N154" s="3"/>
      <c r="O154" s="3"/>
      <c r="P154" s="3"/>
    </row>
    <row r="155" ht="15.75" customHeight="1">
      <c r="N155" s="3"/>
      <c r="O155" s="3"/>
      <c r="P155" s="3"/>
    </row>
    <row r="156" ht="15.75" customHeight="1">
      <c r="N156" s="3"/>
      <c r="O156" s="3"/>
      <c r="P156" s="3"/>
    </row>
    <row r="157" ht="15.75" customHeight="1">
      <c r="N157" s="3"/>
      <c r="O157" s="3"/>
      <c r="P157" s="3"/>
    </row>
    <row r="158" ht="15.75" customHeight="1">
      <c r="N158" s="3"/>
      <c r="O158" s="3"/>
      <c r="P158" s="3"/>
    </row>
    <row r="159" ht="15.75" customHeight="1">
      <c r="N159" s="3"/>
      <c r="O159" s="3"/>
      <c r="P159" s="3"/>
    </row>
    <row r="160" ht="15.75" customHeight="1">
      <c r="N160" s="3"/>
      <c r="O160" s="3"/>
      <c r="P160" s="3"/>
    </row>
    <row r="161" ht="15.75" customHeight="1">
      <c r="N161" s="3"/>
      <c r="O161" s="3"/>
      <c r="P161" s="3"/>
    </row>
    <row r="162" ht="15.75" customHeight="1">
      <c r="N162" s="3"/>
      <c r="O162" s="3"/>
      <c r="P162" s="3"/>
    </row>
    <row r="163" ht="15.75" customHeight="1">
      <c r="N163" s="3"/>
      <c r="O163" s="3"/>
      <c r="P163" s="3"/>
    </row>
    <row r="164" ht="15.75" customHeight="1">
      <c r="N164" s="3"/>
      <c r="O164" s="3"/>
      <c r="P164" s="3"/>
    </row>
    <row r="165" ht="15.75" customHeight="1">
      <c r="N165" s="3"/>
      <c r="O165" s="3"/>
      <c r="P165" s="3"/>
    </row>
    <row r="166" ht="15.75" customHeight="1">
      <c r="N166" s="3"/>
      <c r="O166" s="3"/>
      <c r="P166" s="3"/>
    </row>
    <row r="167" ht="15.75" customHeight="1">
      <c r="N167" s="3"/>
      <c r="O167" s="3"/>
      <c r="P167" s="3"/>
    </row>
    <row r="168" ht="15.75" customHeight="1">
      <c r="N168" s="3"/>
      <c r="O168" s="3"/>
      <c r="P168" s="3"/>
    </row>
    <row r="169" ht="15.75" customHeight="1">
      <c r="N169" s="3"/>
      <c r="O169" s="3"/>
      <c r="P169" s="3"/>
    </row>
    <row r="170" ht="15.75" customHeight="1">
      <c r="N170" s="3"/>
      <c r="O170" s="3"/>
      <c r="P170" s="3"/>
    </row>
    <row r="171" ht="15.75" customHeight="1">
      <c r="N171" s="3"/>
      <c r="O171" s="3"/>
      <c r="P171" s="3"/>
    </row>
    <row r="172" ht="15.75" customHeight="1">
      <c r="N172" s="3"/>
      <c r="O172" s="3"/>
      <c r="P172" s="3"/>
    </row>
    <row r="173" ht="15.75" customHeight="1">
      <c r="N173" s="3"/>
      <c r="O173" s="3"/>
      <c r="P173" s="3"/>
    </row>
    <row r="174" ht="15.75" customHeight="1">
      <c r="N174" s="3"/>
      <c r="O174" s="3"/>
      <c r="P174" s="3"/>
    </row>
    <row r="175" ht="15.75" customHeight="1">
      <c r="N175" s="3"/>
      <c r="O175" s="3"/>
      <c r="P175" s="3"/>
    </row>
    <row r="176" ht="15.75" customHeight="1">
      <c r="N176" s="3"/>
      <c r="O176" s="3"/>
      <c r="P176" s="3"/>
    </row>
    <row r="177" ht="15.75" customHeight="1">
      <c r="N177" s="3"/>
      <c r="O177" s="3"/>
      <c r="P177" s="3"/>
    </row>
    <row r="178" ht="15.75" customHeight="1">
      <c r="N178" s="3"/>
      <c r="O178" s="3"/>
      <c r="P178" s="3"/>
    </row>
    <row r="179" ht="15.75" customHeight="1">
      <c r="N179" s="3"/>
      <c r="O179" s="3"/>
      <c r="P179" s="3"/>
    </row>
    <row r="180" ht="15.75" customHeight="1">
      <c r="N180" s="3"/>
      <c r="O180" s="3"/>
      <c r="P180" s="3"/>
    </row>
    <row r="181" ht="15.75" customHeight="1">
      <c r="N181" s="3"/>
      <c r="O181" s="3"/>
      <c r="P181" s="3"/>
    </row>
    <row r="182" ht="15.75" customHeight="1">
      <c r="N182" s="3"/>
      <c r="O182" s="3"/>
      <c r="P182" s="3"/>
    </row>
    <row r="183" ht="15.75" customHeight="1">
      <c r="N183" s="3"/>
      <c r="O183" s="3"/>
      <c r="P183" s="3"/>
    </row>
    <row r="184" ht="15.75" customHeight="1">
      <c r="N184" s="3"/>
      <c r="O184" s="3"/>
      <c r="P184" s="3"/>
    </row>
    <row r="185" ht="15.75" customHeight="1">
      <c r="N185" s="3"/>
      <c r="O185" s="3"/>
      <c r="P185" s="3"/>
    </row>
    <row r="186" ht="15.75" customHeight="1">
      <c r="N186" s="3"/>
      <c r="O186" s="3"/>
      <c r="P186" s="3"/>
    </row>
    <row r="187" ht="15.75" customHeight="1">
      <c r="N187" s="3"/>
      <c r="O187" s="3"/>
      <c r="P187" s="3"/>
    </row>
    <row r="188" ht="15.75" customHeight="1">
      <c r="N188" s="3"/>
      <c r="O188" s="3"/>
      <c r="P188" s="3"/>
    </row>
    <row r="189" ht="15.75" customHeight="1">
      <c r="N189" s="3"/>
      <c r="O189" s="3"/>
      <c r="P189" s="3"/>
    </row>
    <row r="190" ht="15.75" customHeight="1">
      <c r="N190" s="3"/>
      <c r="O190" s="3"/>
      <c r="P190" s="3"/>
    </row>
    <row r="191" ht="15.75" customHeight="1">
      <c r="N191" s="3"/>
      <c r="O191" s="3"/>
      <c r="P191" s="3"/>
    </row>
    <row r="192" ht="15.75" customHeight="1">
      <c r="N192" s="3"/>
      <c r="O192" s="3"/>
      <c r="P192" s="3"/>
    </row>
    <row r="193" ht="15.75" customHeight="1">
      <c r="N193" s="3"/>
      <c r="O193" s="3"/>
      <c r="P193" s="3"/>
    </row>
    <row r="194" ht="15.75" customHeight="1">
      <c r="N194" s="3"/>
      <c r="O194" s="3"/>
      <c r="P194" s="3"/>
    </row>
    <row r="195" ht="15.75" customHeight="1">
      <c r="N195" s="3"/>
      <c r="O195" s="3"/>
      <c r="P195" s="3"/>
    </row>
    <row r="196" ht="15.75" customHeight="1">
      <c r="N196" s="3"/>
      <c r="O196" s="3"/>
      <c r="P196" s="3"/>
    </row>
    <row r="197" ht="15.75" customHeight="1">
      <c r="N197" s="3"/>
      <c r="O197" s="3"/>
      <c r="P197" s="3"/>
    </row>
    <row r="198" ht="15.75" customHeight="1">
      <c r="N198" s="3"/>
      <c r="O198" s="3"/>
      <c r="P198" s="3"/>
    </row>
    <row r="199" ht="15.75" customHeight="1">
      <c r="N199" s="3"/>
      <c r="O199" s="3"/>
      <c r="P199" s="3"/>
    </row>
    <row r="200" ht="15.75" customHeight="1">
      <c r="N200" s="3"/>
      <c r="O200" s="3"/>
      <c r="P200" s="3"/>
    </row>
    <row r="201" ht="15.75" customHeight="1">
      <c r="N201" s="3"/>
      <c r="O201" s="3"/>
      <c r="P201" s="3"/>
    </row>
    <row r="202" ht="15.75" customHeight="1">
      <c r="N202" s="3"/>
      <c r="O202" s="3"/>
      <c r="P202" s="3"/>
    </row>
    <row r="203" ht="15.75" customHeight="1">
      <c r="N203" s="3"/>
      <c r="O203" s="3"/>
      <c r="P203" s="3"/>
    </row>
    <row r="204" ht="15.75" customHeight="1">
      <c r="N204" s="3"/>
      <c r="O204" s="3"/>
      <c r="P204" s="3"/>
    </row>
    <row r="205" ht="15.75" customHeight="1">
      <c r="N205" s="3"/>
      <c r="O205" s="3"/>
      <c r="P205" s="3"/>
    </row>
    <row r="206" ht="15.75" customHeight="1">
      <c r="N206" s="3"/>
      <c r="O206" s="3"/>
      <c r="P206" s="3"/>
    </row>
    <row r="207" ht="15.75" customHeight="1">
      <c r="N207" s="3"/>
      <c r="O207" s="3"/>
      <c r="P207" s="3"/>
    </row>
    <row r="208" ht="15.75" customHeight="1">
      <c r="N208" s="3"/>
      <c r="O208" s="3"/>
      <c r="P208" s="3"/>
    </row>
    <row r="209" ht="15.75" customHeight="1">
      <c r="N209" s="3"/>
      <c r="O209" s="3"/>
      <c r="P209" s="3"/>
    </row>
    <row r="210" ht="15.75" customHeight="1">
      <c r="N210" s="3"/>
      <c r="O210" s="3"/>
      <c r="P210" s="3"/>
    </row>
    <row r="211" ht="15.75" customHeight="1">
      <c r="N211" s="3"/>
      <c r="O211" s="3"/>
      <c r="P211" s="3"/>
    </row>
    <row r="212" ht="15.75" customHeight="1">
      <c r="N212" s="3"/>
      <c r="O212" s="3"/>
      <c r="P212" s="3"/>
    </row>
    <row r="213" ht="15.75" customHeight="1">
      <c r="N213" s="3"/>
      <c r="O213" s="3"/>
      <c r="P213" s="3"/>
    </row>
    <row r="214" ht="15.75" customHeight="1">
      <c r="N214" s="3"/>
      <c r="O214" s="3"/>
      <c r="P214" s="3"/>
    </row>
    <row r="215" ht="15.75" customHeight="1">
      <c r="N215" s="3"/>
      <c r="O215" s="3"/>
      <c r="P215" s="3"/>
    </row>
    <row r="216" ht="15.75" customHeight="1">
      <c r="N216" s="3"/>
      <c r="O216" s="3"/>
      <c r="P216" s="3"/>
    </row>
    <row r="217" ht="15.75" customHeight="1">
      <c r="N217" s="3"/>
      <c r="O217" s="3"/>
      <c r="P217" s="3"/>
    </row>
    <row r="218" ht="15.75" customHeight="1">
      <c r="N218" s="3"/>
      <c r="O218" s="3"/>
      <c r="P218" s="3"/>
    </row>
    <row r="219" ht="15.75" customHeight="1">
      <c r="N219" s="3"/>
      <c r="O219" s="3"/>
      <c r="P219" s="3"/>
    </row>
    <row r="220" ht="15.75" customHeight="1">
      <c r="N220" s="3"/>
      <c r="O220" s="3"/>
      <c r="P220" s="3"/>
    </row>
    <row r="221" ht="15.75" customHeight="1">
      <c r="N221" s="3"/>
      <c r="O221" s="3"/>
      <c r="P221" s="3"/>
    </row>
    <row r="222" ht="15.75" customHeight="1">
      <c r="N222" s="3"/>
      <c r="O222" s="3"/>
      <c r="P222" s="3"/>
    </row>
    <row r="223" ht="15.75" customHeight="1">
      <c r="N223" s="3"/>
      <c r="O223" s="3"/>
      <c r="P223" s="3"/>
    </row>
    <row r="224" ht="15.75" customHeight="1">
      <c r="N224" s="3"/>
      <c r="O224" s="3"/>
      <c r="P224" s="3"/>
    </row>
    <row r="225" ht="15.75" customHeight="1">
      <c r="N225" s="3"/>
      <c r="O225" s="3"/>
      <c r="P225" s="3"/>
    </row>
    <row r="226" ht="15.75" customHeight="1">
      <c r="N226" s="3"/>
      <c r="O226" s="3"/>
      <c r="P226" s="3"/>
    </row>
    <row r="227" ht="15.75" customHeight="1">
      <c r="N227" s="3"/>
      <c r="O227" s="3"/>
      <c r="P227" s="3"/>
    </row>
    <row r="228" ht="15.75" customHeight="1">
      <c r="N228" s="3"/>
      <c r="O228" s="3"/>
      <c r="P228" s="3"/>
    </row>
    <row r="229" ht="15.75" customHeight="1">
      <c r="N229" s="3"/>
      <c r="O229" s="3"/>
      <c r="P229" s="3"/>
    </row>
    <row r="230" ht="15.75" customHeight="1">
      <c r="N230" s="3"/>
      <c r="O230" s="3"/>
      <c r="P230" s="3"/>
    </row>
    <row r="231" ht="15.75" customHeight="1">
      <c r="N231" s="3"/>
      <c r="O231" s="3"/>
      <c r="P231" s="3"/>
    </row>
    <row r="232" ht="15.75" customHeight="1">
      <c r="N232" s="3"/>
      <c r="O232" s="3"/>
      <c r="P232" s="3"/>
    </row>
    <row r="233" ht="15.75" customHeight="1">
      <c r="N233" s="3"/>
      <c r="O233" s="3"/>
      <c r="P233" s="3"/>
    </row>
    <row r="234" ht="15.75" customHeight="1">
      <c r="N234" s="3"/>
      <c r="O234" s="3"/>
      <c r="P234" s="3"/>
    </row>
    <row r="235" ht="15.75" customHeight="1">
      <c r="N235" s="3"/>
      <c r="O235" s="3"/>
      <c r="P235" s="3"/>
    </row>
    <row r="236" ht="15.75" customHeight="1">
      <c r="N236" s="3"/>
      <c r="O236" s="3"/>
      <c r="P236" s="3"/>
    </row>
    <row r="237" ht="15.75" customHeight="1">
      <c r="N237" s="3"/>
      <c r="O237" s="3"/>
      <c r="P237" s="3"/>
    </row>
    <row r="238" ht="15.75" customHeight="1">
      <c r="N238" s="3"/>
      <c r="O238" s="3"/>
      <c r="P238" s="3"/>
    </row>
    <row r="239" ht="15.75" customHeight="1">
      <c r="N239" s="3"/>
      <c r="O239" s="3"/>
      <c r="P239" s="3"/>
    </row>
    <row r="240" ht="15.75" customHeight="1">
      <c r="N240" s="3"/>
      <c r="O240" s="3"/>
      <c r="P240" s="3"/>
    </row>
    <row r="241" ht="15.75" customHeight="1">
      <c r="N241" s="3"/>
      <c r="O241" s="3"/>
      <c r="P241" s="3"/>
    </row>
    <row r="242" ht="15.75" customHeight="1">
      <c r="N242" s="3"/>
      <c r="O242" s="3"/>
      <c r="P242" s="3"/>
    </row>
    <row r="243" ht="15.75" customHeight="1">
      <c r="N243" s="3"/>
      <c r="O243" s="3"/>
      <c r="P243" s="3"/>
    </row>
    <row r="244" ht="15.75" customHeight="1">
      <c r="N244" s="3"/>
      <c r="O244" s="3"/>
      <c r="P244" s="3"/>
    </row>
    <row r="245" ht="15.75" customHeight="1">
      <c r="N245" s="3"/>
      <c r="O245" s="3"/>
      <c r="P245" s="3"/>
    </row>
    <row r="246" ht="15.75" customHeight="1">
      <c r="N246" s="3"/>
      <c r="O246" s="3"/>
      <c r="P246" s="3"/>
    </row>
    <row r="247" ht="15.75" customHeight="1">
      <c r="N247" s="3"/>
      <c r="O247" s="3"/>
      <c r="P247" s="3"/>
    </row>
    <row r="248" ht="15.75" customHeight="1">
      <c r="N248" s="3"/>
      <c r="O248" s="3"/>
      <c r="P248" s="3"/>
    </row>
    <row r="249" ht="15.75" customHeight="1">
      <c r="N249" s="3"/>
      <c r="O249" s="3"/>
      <c r="P249" s="3"/>
    </row>
    <row r="250" ht="15.75" customHeight="1">
      <c r="N250" s="3"/>
      <c r="O250" s="3"/>
      <c r="P250" s="3"/>
    </row>
    <row r="251" ht="15.75" customHeight="1">
      <c r="N251" s="3"/>
      <c r="O251" s="3"/>
      <c r="P251" s="3"/>
    </row>
    <row r="252" ht="15.75" customHeight="1">
      <c r="N252" s="3"/>
      <c r="O252" s="3"/>
      <c r="P252" s="3"/>
    </row>
    <row r="253" ht="15.75" customHeight="1">
      <c r="N253" s="3"/>
      <c r="O253" s="3"/>
      <c r="P253" s="3"/>
    </row>
    <row r="254" ht="15.75" customHeight="1">
      <c r="N254" s="3"/>
      <c r="O254" s="3"/>
      <c r="P254" s="3"/>
    </row>
    <row r="255" ht="15.75" customHeight="1">
      <c r="N255" s="3"/>
      <c r="O255" s="3"/>
      <c r="P255" s="3"/>
    </row>
    <row r="256" ht="15.75" customHeight="1">
      <c r="N256" s="3"/>
      <c r="O256" s="3"/>
      <c r="P256" s="3"/>
    </row>
    <row r="257" ht="15.75" customHeight="1">
      <c r="N257" s="3"/>
      <c r="O257" s="3"/>
      <c r="P257" s="3"/>
    </row>
    <row r="258" ht="15.75" customHeight="1">
      <c r="N258" s="3"/>
      <c r="O258" s="3"/>
      <c r="P258" s="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M1"/>
    <mergeCell ref="C2:D2"/>
    <mergeCell ref="E2:F2"/>
    <mergeCell ref="G2:H2"/>
    <mergeCell ref="I2:J2"/>
    <mergeCell ref="K2:L2"/>
    <mergeCell ref="P2:S2"/>
    <mergeCell ref="C8:D8"/>
    <mergeCell ref="E8:F8"/>
    <mergeCell ref="G8:H8"/>
    <mergeCell ref="I8:J8"/>
    <mergeCell ref="K8:L8"/>
    <mergeCell ref="C14:D14"/>
    <mergeCell ref="E14:F14"/>
    <mergeCell ref="K14:L14"/>
    <mergeCell ref="G14:H14"/>
    <mergeCell ref="I14:J14"/>
    <mergeCell ref="C20:D20"/>
    <mergeCell ref="E20:F20"/>
    <mergeCell ref="G20:H20"/>
    <mergeCell ref="I20:J20"/>
    <mergeCell ref="K20:L20"/>
    <mergeCell ref="I35:J35"/>
    <mergeCell ref="K35:L35"/>
    <mergeCell ref="B28:M28"/>
    <mergeCell ref="C29:D29"/>
    <mergeCell ref="E29:F29"/>
    <mergeCell ref="G29:H29"/>
    <mergeCell ref="I29:J29"/>
    <mergeCell ref="K29:L29"/>
    <mergeCell ref="C35:D35"/>
    <mergeCell ref="C47:D47"/>
    <mergeCell ref="E47:F47"/>
    <mergeCell ref="G47:H47"/>
    <mergeCell ref="I47:J47"/>
    <mergeCell ref="K47:L47"/>
    <mergeCell ref="E35:F35"/>
    <mergeCell ref="G35:H35"/>
    <mergeCell ref="C41:D41"/>
    <mergeCell ref="E41:F41"/>
    <mergeCell ref="G41:H41"/>
    <mergeCell ref="I41:J41"/>
    <mergeCell ref="K41:L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2.43"/>
    <col customWidth="1" min="3" max="5" width="9.57"/>
    <col customWidth="1" min="6" max="11" width="10.14"/>
    <col customWidth="1" min="12" max="12" width="10.71"/>
    <col customWidth="1" min="13" max="13" width="6.86"/>
    <col customWidth="1" min="14" max="14" width="10.71"/>
    <col customWidth="1" min="15" max="15" width="12.29"/>
    <col customWidth="1" min="16" max="20" width="10.71"/>
  </cols>
  <sheetData>
    <row r="1">
      <c r="A1" s="3">
        <f>A3/C1*B1</f>
        <v>320366.86</v>
      </c>
      <c r="B1" s="3">
        <v>1.21</v>
      </c>
      <c r="C1" s="3">
        <v>1.0</v>
      </c>
      <c r="E1" s="3"/>
      <c r="F1" s="3"/>
      <c r="H1" s="3"/>
      <c r="I1" s="3" t="s">
        <v>60</v>
      </c>
      <c r="J1" s="3"/>
    </row>
    <row r="2">
      <c r="A2" s="60">
        <f>A3*B1</f>
        <v>320366.86</v>
      </c>
      <c r="B2" s="61" t="s">
        <v>61</v>
      </c>
      <c r="C2" s="36">
        <v>1.2</v>
      </c>
      <c r="D2" s="36">
        <v>1.16</v>
      </c>
      <c r="E2" s="3"/>
      <c r="F2" s="3"/>
      <c r="G2" s="3">
        <v>1.1</v>
      </c>
      <c r="H2" s="3"/>
      <c r="I2" s="3">
        <v>1.2</v>
      </c>
      <c r="J2" s="3"/>
      <c r="K2" s="3"/>
      <c r="L2" s="3"/>
      <c r="M2" s="3"/>
      <c r="N2" s="61"/>
      <c r="O2" s="36"/>
      <c r="P2" s="36"/>
      <c r="Q2" s="3"/>
      <c r="R2" s="3"/>
      <c r="S2" s="3"/>
      <c r="T2" s="3"/>
    </row>
    <row r="3" ht="15.0" customHeight="1">
      <c r="A3" s="3">
        <v>264766.0</v>
      </c>
      <c r="B3" s="36" t="s">
        <v>62</v>
      </c>
      <c r="C3" s="36"/>
      <c r="E3" s="3"/>
      <c r="F3" s="3"/>
      <c r="G3" s="3"/>
      <c r="H3" s="3"/>
      <c r="I3" s="3"/>
      <c r="J3" s="3"/>
      <c r="K3" s="62" t="s">
        <v>63</v>
      </c>
      <c r="L3" s="3"/>
      <c r="M3" s="3"/>
      <c r="N3" s="36"/>
      <c r="O3" s="36"/>
      <c r="P3" s="36"/>
      <c r="Q3" s="3"/>
      <c r="R3" s="62"/>
      <c r="S3" s="3"/>
      <c r="T3" s="3"/>
    </row>
    <row r="4">
      <c r="A4" s="3">
        <v>1.0</v>
      </c>
      <c r="B4" s="3">
        <v>300000.0</v>
      </c>
      <c r="C4" s="63">
        <v>33.0</v>
      </c>
      <c r="D4" s="64"/>
      <c r="E4" s="3">
        <f>B4/C4</f>
        <v>9090.909091</v>
      </c>
      <c r="F4" s="65" t="s">
        <v>64</v>
      </c>
      <c r="G4" s="66"/>
      <c r="H4" s="65" t="s">
        <v>65</v>
      </c>
      <c r="I4" s="67"/>
      <c r="J4" s="66"/>
      <c r="K4" s="68"/>
      <c r="L4" s="3"/>
      <c r="M4" s="3"/>
      <c r="N4" s="3"/>
      <c r="O4" s="36"/>
      <c r="P4" s="36"/>
      <c r="Q4" s="3"/>
      <c r="R4" s="68"/>
      <c r="S4" s="3"/>
      <c r="T4" s="3"/>
    </row>
    <row r="5">
      <c r="A5" s="3" t="s">
        <v>66</v>
      </c>
      <c r="B5" s="3">
        <f>A3/A4</f>
        <v>264766</v>
      </c>
      <c r="C5" s="69">
        <f>A2/B4*C4*C1</f>
        <v>35.2403546</v>
      </c>
      <c r="D5" s="3"/>
      <c r="E5" s="3"/>
      <c r="F5" s="25"/>
      <c r="G5" s="70"/>
      <c r="H5" s="25"/>
      <c r="I5" s="71"/>
      <c r="J5" s="70"/>
      <c r="K5" s="72"/>
      <c r="L5" s="3"/>
      <c r="M5" s="3"/>
      <c r="N5" s="3"/>
      <c r="O5" s="3"/>
      <c r="P5" s="3"/>
      <c r="Q5" s="3"/>
      <c r="R5" s="72"/>
      <c r="S5" s="3"/>
      <c r="T5" s="3"/>
      <c r="U5" s="3"/>
      <c r="V5" s="3"/>
      <c r="W5" s="3"/>
      <c r="X5" s="3"/>
      <c r="Y5" s="3"/>
      <c r="Z5" s="3"/>
    </row>
    <row r="6">
      <c r="A6" s="3" t="s">
        <v>67</v>
      </c>
      <c r="B6" s="73" t="s">
        <v>68</v>
      </c>
      <c r="C6" s="74" t="s">
        <v>69</v>
      </c>
      <c r="D6" s="75" t="s">
        <v>70</v>
      </c>
      <c r="E6" s="76" t="s">
        <v>71</v>
      </c>
      <c r="F6" s="77" t="s">
        <v>72</v>
      </c>
      <c r="G6" s="18" t="s">
        <v>73</v>
      </c>
      <c r="H6" s="18" t="s">
        <v>72</v>
      </c>
      <c r="I6" s="18" t="s">
        <v>70</v>
      </c>
      <c r="J6" s="18" t="s">
        <v>71</v>
      </c>
      <c r="K6" s="78" t="s">
        <v>74</v>
      </c>
      <c r="L6" s="3"/>
      <c r="M6" s="20"/>
      <c r="N6" s="36" t="str">
        <f t="shared" ref="N6:R6" si="1">C6</f>
        <v>brillo</v>
      </c>
      <c r="O6" s="36" t="str">
        <f t="shared" si="1"/>
        <v>mate</v>
      </c>
      <c r="P6" s="36" t="str">
        <f t="shared" si="1"/>
        <v>Laca UV</v>
      </c>
      <c r="Q6" s="36" t="str">
        <f t="shared" si="1"/>
        <v>Brillo</v>
      </c>
      <c r="R6" s="36" t="str">
        <f t="shared" si="1"/>
        <v>Mate </v>
      </c>
      <c r="S6" s="36"/>
      <c r="T6" s="20"/>
    </row>
    <row r="7">
      <c r="B7" s="79" t="s">
        <v>75</v>
      </c>
      <c r="C7" s="80">
        <f>C5*L7*D2</f>
        <v>163.5152453</v>
      </c>
      <c r="D7" s="81">
        <f>C7*D2</f>
        <v>189.6776846</v>
      </c>
      <c r="E7" s="82">
        <f>C7/I2</f>
        <v>136.2627045</v>
      </c>
      <c r="F7" s="83">
        <f t="shared" ref="F7:G7" si="2">C7</f>
        <v>163.5152453</v>
      </c>
      <c r="G7" s="84">
        <f t="shared" si="2"/>
        <v>189.6776846</v>
      </c>
      <c r="H7" s="85"/>
      <c r="I7" s="85"/>
      <c r="J7" s="86">
        <f t="shared" ref="J7:J11" si="5">E7</f>
        <v>136.2627045</v>
      </c>
      <c r="K7" s="87">
        <v>8.6</v>
      </c>
      <c r="L7" s="20">
        <v>4.0</v>
      </c>
      <c r="N7" s="88">
        <f t="shared" ref="N7:R7" si="3">C7*1.9</f>
        <v>310.6789662</v>
      </c>
      <c r="O7" s="88">
        <f t="shared" si="3"/>
        <v>360.3876007</v>
      </c>
      <c r="P7" s="88">
        <f t="shared" si="3"/>
        <v>258.8991385</v>
      </c>
      <c r="Q7" s="88">
        <f t="shared" si="3"/>
        <v>310.6789662</v>
      </c>
      <c r="R7" s="88">
        <f t="shared" si="3"/>
        <v>360.3876007</v>
      </c>
      <c r="S7" s="36"/>
      <c r="T7" s="20"/>
    </row>
    <row r="8">
      <c r="B8" s="89" t="s">
        <v>76</v>
      </c>
      <c r="C8" s="90">
        <f>C5*L8*D2</f>
        <v>151.2516019</v>
      </c>
      <c r="D8" s="91">
        <f>C8*D2</f>
        <v>175.4518583</v>
      </c>
      <c r="E8" s="92">
        <f>C8/I2</f>
        <v>126.0430016</v>
      </c>
      <c r="F8" s="83">
        <f t="shared" ref="F8:G8" si="4">C8</f>
        <v>151.2516019</v>
      </c>
      <c r="G8" s="84">
        <f t="shared" si="4"/>
        <v>175.4518583</v>
      </c>
      <c r="H8" s="85"/>
      <c r="I8" s="85"/>
      <c r="J8" s="86">
        <f t="shared" si="5"/>
        <v>126.0430016</v>
      </c>
      <c r="K8" s="87">
        <v>6.6</v>
      </c>
      <c r="L8" s="20">
        <v>3.7</v>
      </c>
      <c r="N8" s="88">
        <f t="shared" ref="N8:R8" si="6">C8*1.9</f>
        <v>287.3780437</v>
      </c>
      <c r="O8" s="88">
        <f t="shared" si="6"/>
        <v>333.3585307</v>
      </c>
      <c r="P8" s="88">
        <f t="shared" si="6"/>
        <v>239.4817031</v>
      </c>
      <c r="Q8" s="88">
        <f t="shared" si="6"/>
        <v>287.3780437</v>
      </c>
      <c r="R8" s="88">
        <f t="shared" si="6"/>
        <v>333.3585307</v>
      </c>
      <c r="S8" s="36"/>
      <c r="T8" s="20"/>
    </row>
    <row r="9">
      <c r="B9" s="93" t="s">
        <v>77</v>
      </c>
      <c r="C9" s="90">
        <f>C5*L9*D2</f>
        <v>138.9879585</v>
      </c>
      <c r="D9" s="91">
        <f>C9*D2</f>
        <v>161.2260319</v>
      </c>
      <c r="E9" s="92">
        <f>C9/I2</f>
        <v>115.8232988</v>
      </c>
      <c r="F9" s="83">
        <f t="shared" ref="F9:G9" si="7">C9</f>
        <v>138.9879585</v>
      </c>
      <c r="G9" s="84">
        <f t="shared" si="7"/>
        <v>161.2260319</v>
      </c>
      <c r="H9" s="85"/>
      <c r="I9" s="85"/>
      <c r="J9" s="86">
        <f t="shared" si="5"/>
        <v>115.8232988</v>
      </c>
      <c r="K9" s="87">
        <v>6.0</v>
      </c>
      <c r="L9" s="20">
        <v>3.4</v>
      </c>
      <c r="N9" s="88">
        <f t="shared" ref="N9:R9" si="8">C9*1.9</f>
        <v>264.0771212</v>
      </c>
      <c r="O9" s="88">
        <f t="shared" si="8"/>
        <v>306.3294606</v>
      </c>
      <c r="P9" s="88">
        <f t="shared" si="8"/>
        <v>220.0642677</v>
      </c>
      <c r="Q9" s="88">
        <f t="shared" si="8"/>
        <v>264.0771212</v>
      </c>
      <c r="R9" s="88">
        <f t="shared" si="8"/>
        <v>306.3294606</v>
      </c>
      <c r="S9" s="36"/>
      <c r="T9" s="20"/>
    </row>
    <row r="10">
      <c r="B10" s="93" t="s">
        <v>78</v>
      </c>
      <c r="C10" s="90">
        <f>C5*L10*D2</f>
        <v>126.7243151</v>
      </c>
      <c r="D10" s="91">
        <f>C10*D2</f>
        <v>147.0002056</v>
      </c>
      <c r="E10" s="92">
        <f>C10/I2</f>
        <v>105.603596</v>
      </c>
      <c r="F10" s="83">
        <f t="shared" ref="F10:G10" si="9">C10</f>
        <v>126.7243151</v>
      </c>
      <c r="G10" s="84">
        <f t="shared" si="9"/>
        <v>147.0002056</v>
      </c>
      <c r="H10" s="85"/>
      <c r="I10" s="85"/>
      <c r="J10" s="86">
        <f t="shared" si="5"/>
        <v>105.603596</v>
      </c>
      <c r="K10" s="87">
        <v>5.7</v>
      </c>
      <c r="L10" s="20">
        <v>3.1</v>
      </c>
      <c r="N10" s="88">
        <f t="shared" ref="N10:R10" si="10">C10*1.9</f>
        <v>240.7761988</v>
      </c>
      <c r="O10" s="88">
        <f t="shared" si="10"/>
        <v>279.3003906</v>
      </c>
      <c r="P10" s="88">
        <f t="shared" si="10"/>
        <v>200.6468323</v>
      </c>
      <c r="Q10" s="88">
        <f t="shared" si="10"/>
        <v>240.7761988</v>
      </c>
      <c r="R10" s="88">
        <f t="shared" si="10"/>
        <v>279.3003906</v>
      </c>
      <c r="S10" s="36"/>
      <c r="T10" s="20"/>
    </row>
    <row r="11">
      <c r="B11" s="93" t="s">
        <v>79</v>
      </c>
      <c r="C11" s="90">
        <f>C5*L11*D2</f>
        <v>118.5485529</v>
      </c>
      <c r="D11" s="91">
        <f>C11*D2</f>
        <v>137.5163213</v>
      </c>
      <c r="E11" s="92">
        <f>C11/I2</f>
        <v>98.79046073</v>
      </c>
      <c r="F11" s="83">
        <f t="shared" ref="F11:G11" si="11">C11</f>
        <v>118.5485529</v>
      </c>
      <c r="G11" s="84">
        <f t="shared" si="11"/>
        <v>137.5163213</v>
      </c>
      <c r="H11" s="85"/>
      <c r="I11" s="85"/>
      <c r="J11" s="86">
        <f t="shared" si="5"/>
        <v>98.79046073</v>
      </c>
      <c r="K11" s="87">
        <v>5.2</v>
      </c>
      <c r="L11" s="20">
        <v>2.9</v>
      </c>
      <c r="N11" s="88">
        <f t="shared" ref="N11:R11" si="12">C11*1.9</f>
        <v>225.2422505</v>
      </c>
      <c r="O11" s="88">
        <f t="shared" si="12"/>
        <v>261.2810105</v>
      </c>
      <c r="P11" s="88">
        <f t="shared" si="12"/>
        <v>187.7018754</v>
      </c>
      <c r="Q11" s="88">
        <f t="shared" si="12"/>
        <v>225.2422505</v>
      </c>
      <c r="R11" s="88">
        <f t="shared" si="12"/>
        <v>261.2810105</v>
      </c>
      <c r="S11" s="36"/>
      <c r="T11" s="20"/>
    </row>
    <row r="12">
      <c r="B12" s="94" t="s">
        <v>80</v>
      </c>
      <c r="C12" s="95">
        <f>C5*L12*D2</f>
        <v>110.3727906</v>
      </c>
      <c r="D12" s="96">
        <f>C12*D2</f>
        <v>128.0324371</v>
      </c>
      <c r="E12" s="97">
        <f>C12/I2</f>
        <v>91.97732551</v>
      </c>
      <c r="F12" s="83">
        <f t="shared" ref="F12:G12" si="13">C12</f>
        <v>110.3727906</v>
      </c>
      <c r="G12" s="84">
        <f t="shared" si="13"/>
        <v>128.0324371</v>
      </c>
      <c r="H12" s="3"/>
      <c r="I12" s="3"/>
      <c r="J12" s="98">
        <v>4.0</v>
      </c>
      <c r="K12" s="3" t="s">
        <v>81</v>
      </c>
      <c r="L12" s="20">
        <v>2.7</v>
      </c>
      <c r="N12" s="88">
        <f t="shared" ref="N12:R12" si="14">C12*1.9</f>
        <v>209.7083022</v>
      </c>
      <c r="O12" s="88">
        <f t="shared" si="14"/>
        <v>243.2616305</v>
      </c>
      <c r="P12" s="88">
        <f t="shared" si="14"/>
        <v>174.7569185</v>
      </c>
      <c r="Q12" s="88">
        <f t="shared" si="14"/>
        <v>209.7083022</v>
      </c>
      <c r="R12" s="88">
        <f t="shared" si="14"/>
        <v>243.2616305</v>
      </c>
      <c r="S12" s="36"/>
      <c r="T12" s="3"/>
    </row>
    <row r="13">
      <c r="A13" s="3"/>
      <c r="B13" s="94" t="s">
        <v>80</v>
      </c>
      <c r="C13" s="95">
        <f>C5*L13*D2</f>
        <v>102.1970283</v>
      </c>
      <c r="D13" s="96">
        <f>C13*D2</f>
        <v>118.5485529</v>
      </c>
      <c r="E13" s="99">
        <f>C13/I2</f>
        <v>85.16419028</v>
      </c>
      <c r="F13" s="83">
        <f t="shared" ref="F13:G13" si="15">C13</f>
        <v>102.1970283</v>
      </c>
      <c r="G13" s="84">
        <f t="shared" si="15"/>
        <v>118.5485529</v>
      </c>
      <c r="H13" s="3"/>
      <c r="I13" s="3"/>
      <c r="J13" s="98">
        <v>4.0</v>
      </c>
      <c r="K13" s="3" t="s">
        <v>81</v>
      </c>
      <c r="L13" s="20">
        <v>2.5</v>
      </c>
      <c r="M13" s="3"/>
      <c r="N13" s="88">
        <f t="shared" ref="N13:R13" si="16">C13*1.9</f>
        <v>194.1743538</v>
      </c>
      <c r="O13" s="88">
        <f t="shared" si="16"/>
        <v>225.2422505</v>
      </c>
      <c r="P13" s="88">
        <f t="shared" si="16"/>
        <v>161.8119615</v>
      </c>
      <c r="Q13" s="88">
        <f t="shared" si="16"/>
        <v>194.1743538</v>
      </c>
      <c r="R13" s="88">
        <f t="shared" si="16"/>
        <v>225.2422505</v>
      </c>
      <c r="S13" s="36"/>
      <c r="T13" s="3"/>
      <c r="U13" s="3"/>
      <c r="V13" s="3"/>
      <c r="W13" s="3"/>
      <c r="X13" s="3"/>
      <c r="Y13" s="3"/>
      <c r="Z13" s="3"/>
    </row>
    <row r="14">
      <c r="D14" s="40"/>
      <c r="E14" s="40"/>
      <c r="F14" s="40"/>
      <c r="H14" s="3"/>
      <c r="I14" s="3"/>
      <c r="J14" s="3"/>
    </row>
    <row r="15">
      <c r="E15" s="3"/>
      <c r="F15" s="3"/>
      <c r="H15" s="3"/>
      <c r="I15" s="3"/>
      <c r="J15" s="3"/>
    </row>
    <row r="16">
      <c r="B16" s="36" t="s">
        <v>82</v>
      </c>
      <c r="C16" s="100" t="s">
        <v>16</v>
      </c>
      <c r="D16" s="100" t="s">
        <v>83</v>
      </c>
      <c r="E16" s="100"/>
      <c r="F16" s="100"/>
      <c r="G16" s="100" t="s">
        <v>46</v>
      </c>
      <c r="H16" s="101"/>
      <c r="I16" s="101"/>
      <c r="J16" s="101"/>
    </row>
    <row r="17">
      <c r="B17" s="102" t="s">
        <v>84</v>
      </c>
      <c r="C17" s="103">
        <v>15.0</v>
      </c>
      <c r="D17" s="103">
        <v>21.0</v>
      </c>
      <c r="E17" s="103"/>
      <c r="F17" s="103"/>
      <c r="G17" s="103">
        <v>25.0</v>
      </c>
      <c r="H17" s="104"/>
      <c r="I17" s="104"/>
      <c r="J17" s="104"/>
    </row>
    <row r="18">
      <c r="E18" s="3"/>
      <c r="F18" s="3"/>
      <c r="H18" s="3"/>
      <c r="I18" s="3"/>
      <c r="J18" s="3"/>
    </row>
    <row r="19">
      <c r="B19" s="3" t="s">
        <v>85</v>
      </c>
      <c r="D19" s="40" t="s">
        <v>86</v>
      </c>
      <c r="E19" s="40"/>
      <c r="F19" s="40"/>
      <c r="H19" s="3"/>
      <c r="I19" s="3"/>
      <c r="J19" s="3"/>
    </row>
    <row r="20">
      <c r="E20" s="3"/>
      <c r="F20" s="3"/>
      <c r="H20" s="3"/>
      <c r="I20" s="3"/>
      <c r="J20" s="3"/>
    </row>
    <row r="21" ht="15.75" customHeight="1">
      <c r="E21" s="3"/>
      <c r="F21" s="3"/>
      <c r="H21" s="3"/>
      <c r="I21" s="3"/>
      <c r="J21" s="3"/>
    </row>
    <row r="22" ht="15.75" customHeight="1">
      <c r="E22" s="3"/>
      <c r="F22" s="3"/>
      <c r="H22" s="3"/>
      <c r="I22" s="3"/>
      <c r="J22" s="3"/>
    </row>
    <row r="23" ht="15.75" customHeight="1">
      <c r="A23" s="105">
        <v>45415.0</v>
      </c>
      <c r="B23" s="3" t="s">
        <v>87</v>
      </c>
      <c r="C23" s="3">
        <v>901.0</v>
      </c>
      <c r="E23" s="3"/>
      <c r="F23" s="3"/>
      <c r="H23" s="3"/>
      <c r="I23" s="3"/>
      <c r="J23" s="3"/>
      <c r="N23" s="3">
        <v>25.740000000000002</v>
      </c>
      <c r="O23" s="3">
        <v>24.024</v>
      </c>
      <c r="P23" s="3">
        <v>24.024</v>
      </c>
    </row>
    <row r="24" ht="15.75" customHeight="1">
      <c r="A24" s="3" t="s">
        <v>88</v>
      </c>
      <c r="E24" s="3"/>
      <c r="F24" s="3"/>
      <c r="H24" s="3"/>
      <c r="I24" s="3"/>
      <c r="J24" s="3"/>
      <c r="N24" s="3">
        <v>24.024</v>
      </c>
      <c r="O24" s="3">
        <v>20.592000000000006</v>
      </c>
      <c r="P24" s="3">
        <v>20.592000000000006</v>
      </c>
    </row>
    <row r="25" ht="15.75" customHeight="1">
      <c r="A25" s="3" t="s">
        <v>89</v>
      </c>
      <c r="B25" s="3" t="s">
        <v>90</v>
      </c>
      <c r="C25" s="3" t="s">
        <v>91</v>
      </c>
      <c r="D25" s="3" t="s">
        <v>66</v>
      </c>
      <c r="E25" s="3" t="s">
        <v>92</v>
      </c>
      <c r="F25" s="3" t="s">
        <v>93</v>
      </c>
      <c r="G25" s="3" t="s">
        <v>94</v>
      </c>
      <c r="H25" s="3"/>
      <c r="J25" s="3"/>
      <c r="N25" s="3">
        <v>20.592000000000006</v>
      </c>
      <c r="O25" s="3">
        <v>18.876</v>
      </c>
      <c r="P25" s="3">
        <v>18.876</v>
      </c>
    </row>
    <row r="26" ht="15.75" customHeight="1">
      <c r="A26" s="3" t="s">
        <v>70</v>
      </c>
      <c r="B26" s="3" t="s">
        <v>95</v>
      </c>
      <c r="C26" s="3">
        <v>300000.0</v>
      </c>
      <c r="D26" s="3">
        <v>264766.0</v>
      </c>
      <c r="E26" s="3">
        <f>D26*1.21</f>
        <v>320366.86</v>
      </c>
      <c r="F26" s="3">
        <f>E26/C26</f>
        <v>1.067889533</v>
      </c>
      <c r="G26" s="3">
        <f>F26*33</f>
        <v>35.2403546</v>
      </c>
      <c r="H26" s="3"/>
      <c r="J26" s="3"/>
      <c r="N26" s="3">
        <v>18.876</v>
      </c>
      <c r="O26" s="3">
        <v>17.16</v>
      </c>
      <c r="P26" s="3">
        <v>17.16</v>
      </c>
    </row>
    <row r="27" ht="15.75" customHeight="1">
      <c r="E27" s="3"/>
      <c r="F27" s="3"/>
      <c r="H27" s="3"/>
      <c r="I27" s="3"/>
      <c r="J27" s="3"/>
      <c r="N27" s="3">
        <v>17.16</v>
      </c>
      <c r="O27" s="3">
        <v>15.444000000000003</v>
      </c>
      <c r="P27" s="3">
        <v>15.444000000000003</v>
      </c>
    </row>
    <row r="28" ht="15.75" customHeight="1">
      <c r="A28" s="3" t="s">
        <v>96</v>
      </c>
      <c r="B28" s="3" t="s">
        <v>97</v>
      </c>
      <c r="C28" s="3">
        <v>44.0</v>
      </c>
      <c r="D28" s="3">
        <v>4000.0</v>
      </c>
      <c r="E28" s="3"/>
      <c r="F28" s="3"/>
      <c r="H28" s="3"/>
      <c r="I28" s="3"/>
      <c r="J28" s="3"/>
      <c r="N28" s="3">
        <v>15.444000000000003</v>
      </c>
      <c r="O28" s="3">
        <v>13.728000000000002</v>
      </c>
      <c r="P28" s="3">
        <v>13.728000000000002</v>
      </c>
    </row>
    <row r="29" ht="15.75" customHeight="1">
      <c r="A29" s="3">
        <v>4.0</v>
      </c>
      <c r="B29" s="3">
        <f>C28*A29</f>
        <v>176</v>
      </c>
      <c r="C29" s="106">
        <f>B29*C23</f>
        <v>158576</v>
      </c>
      <c r="D29" s="106">
        <f>C29/D28</f>
        <v>39.644</v>
      </c>
      <c r="E29" s="3"/>
      <c r="F29" s="3"/>
      <c r="H29" s="3"/>
      <c r="I29" s="3"/>
      <c r="J29" s="3"/>
    </row>
    <row r="30" ht="15.75" customHeight="1">
      <c r="E30" s="3"/>
      <c r="F30" s="3"/>
      <c r="H30" s="3"/>
      <c r="I30" s="3"/>
      <c r="J30" s="3"/>
    </row>
    <row r="31" ht="15.75" customHeight="1">
      <c r="E31" s="3"/>
      <c r="F31" s="3"/>
      <c r="H31" s="3"/>
      <c r="I31" s="3"/>
      <c r="J31" s="3"/>
    </row>
    <row r="32" ht="15.75" customHeight="1">
      <c r="E32" s="3"/>
      <c r="F32" s="3"/>
      <c r="H32" s="3"/>
      <c r="I32" s="3"/>
      <c r="J32" s="3"/>
    </row>
    <row r="33" ht="15.75" customHeight="1">
      <c r="E33" s="3"/>
      <c r="F33" s="3"/>
      <c r="H33" s="3"/>
      <c r="I33" s="3"/>
      <c r="J33" s="3"/>
    </row>
    <row r="34" ht="15.75" customHeight="1">
      <c r="E34" s="3"/>
      <c r="F34" s="3"/>
      <c r="H34" s="3"/>
      <c r="I34" s="3"/>
      <c r="J34" s="3"/>
    </row>
    <row r="35" ht="15.75" customHeight="1">
      <c r="E35" s="3"/>
      <c r="F35" s="3"/>
      <c r="H35" s="3"/>
      <c r="I35" s="3"/>
      <c r="J35" s="3"/>
    </row>
    <row r="36" ht="15.75" customHeight="1">
      <c r="E36" s="3"/>
      <c r="F36" s="3"/>
      <c r="H36" s="3"/>
      <c r="I36" s="3"/>
      <c r="J36" s="3"/>
    </row>
    <row r="37" ht="15.75" customHeight="1">
      <c r="E37" s="3"/>
      <c r="F37" s="3"/>
      <c r="H37" s="3"/>
      <c r="I37" s="3"/>
      <c r="J37" s="3"/>
    </row>
    <row r="38" ht="15.75" customHeight="1">
      <c r="E38" s="3"/>
      <c r="F38" s="3"/>
      <c r="H38" s="3"/>
      <c r="I38" s="3"/>
      <c r="J38" s="3"/>
    </row>
    <row r="39" ht="15.75" customHeight="1">
      <c r="E39" s="3"/>
      <c r="F39" s="3"/>
      <c r="H39" s="3"/>
      <c r="I39" s="3"/>
      <c r="J39" s="3"/>
    </row>
    <row r="40" ht="15.75" customHeight="1">
      <c r="E40" s="3"/>
      <c r="F40" s="3"/>
      <c r="H40" s="3"/>
      <c r="I40" s="3"/>
      <c r="J40" s="3"/>
    </row>
    <row r="41" ht="15.75" customHeight="1">
      <c r="E41" s="3"/>
      <c r="F41" s="3"/>
      <c r="H41" s="3"/>
      <c r="I41" s="3"/>
      <c r="J41" s="3"/>
    </row>
    <row r="42" ht="15.75" customHeight="1">
      <c r="E42" s="3"/>
      <c r="F42" s="3"/>
      <c r="H42" s="3"/>
      <c r="I42" s="3"/>
      <c r="J42" s="3"/>
    </row>
    <row r="43" ht="15.75" customHeight="1">
      <c r="E43" s="3"/>
      <c r="F43" s="3"/>
      <c r="H43" s="3"/>
      <c r="I43" s="3"/>
      <c r="J43" s="3"/>
    </row>
    <row r="44" ht="15.75" customHeight="1">
      <c r="E44" s="3"/>
      <c r="F44" s="3"/>
      <c r="H44" s="3"/>
      <c r="I44" s="3"/>
      <c r="J44" s="3"/>
    </row>
    <row r="45" ht="15.75" customHeight="1">
      <c r="E45" s="3"/>
      <c r="F45" s="3"/>
      <c r="H45" s="3"/>
      <c r="I45" s="3"/>
      <c r="J45" s="3"/>
    </row>
    <row r="46" ht="15.75" customHeight="1">
      <c r="E46" s="3"/>
      <c r="F46" s="3"/>
      <c r="H46" s="3"/>
      <c r="I46" s="3"/>
      <c r="J46" s="3"/>
    </row>
    <row r="47" ht="15.75" customHeight="1">
      <c r="E47" s="3"/>
      <c r="F47" s="3"/>
      <c r="H47" s="3"/>
      <c r="I47" s="3"/>
      <c r="J47" s="3"/>
    </row>
    <row r="48" ht="15.75" customHeight="1">
      <c r="E48" s="3"/>
      <c r="F48" s="3"/>
      <c r="H48" s="3"/>
      <c r="I48" s="3"/>
      <c r="J48" s="3"/>
    </row>
    <row r="49" ht="15.75" customHeight="1">
      <c r="E49" s="3"/>
      <c r="F49" s="3"/>
      <c r="H49" s="3"/>
      <c r="I49" s="3"/>
      <c r="J49" s="3"/>
    </row>
    <row r="50" ht="15.75" customHeight="1">
      <c r="E50" s="3"/>
      <c r="F50" s="3"/>
      <c r="H50" s="3"/>
      <c r="I50" s="3"/>
      <c r="J50" s="3"/>
    </row>
    <row r="51" ht="15.75" customHeight="1">
      <c r="E51" s="3"/>
      <c r="F51" s="3"/>
      <c r="H51" s="3"/>
      <c r="I51" s="3"/>
      <c r="J51" s="3"/>
    </row>
    <row r="52" ht="15.75" customHeight="1">
      <c r="E52" s="3"/>
      <c r="F52" s="3"/>
      <c r="H52" s="3"/>
      <c r="I52" s="3"/>
      <c r="J52" s="3"/>
    </row>
    <row r="53" ht="15.75" customHeight="1">
      <c r="E53" s="3"/>
      <c r="F53" s="3"/>
      <c r="H53" s="3"/>
      <c r="I53" s="3"/>
      <c r="J53" s="3"/>
    </row>
    <row r="54" ht="15.75" customHeight="1">
      <c r="E54" s="3"/>
      <c r="F54" s="3"/>
      <c r="H54" s="3"/>
      <c r="I54" s="3"/>
      <c r="J54" s="3"/>
    </row>
    <row r="55" ht="15.75" customHeight="1">
      <c r="E55" s="3"/>
      <c r="F55" s="3"/>
      <c r="H55" s="3"/>
      <c r="I55" s="3"/>
      <c r="J55" s="3"/>
    </row>
    <row r="56" ht="15.75" customHeight="1">
      <c r="E56" s="3"/>
      <c r="F56" s="3"/>
      <c r="H56" s="3"/>
      <c r="I56" s="3"/>
      <c r="J56" s="3"/>
    </row>
    <row r="57" ht="15.75" customHeight="1">
      <c r="E57" s="3"/>
      <c r="F57" s="3"/>
      <c r="H57" s="3"/>
      <c r="I57" s="3"/>
      <c r="J57" s="3"/>
    </row>
    <row r="58" ht="15.75" customHeight="1">
      <c r="E58" s="3"/>
      <c r="F58" s="3"/>
      <c r="H58" s="3"/>
      <c r="I58" s="3"/>
      <c r="J58" s="3"/>
    </row>
    <row r="59" ht="15.75" customHeight="1">
      <c r="E59" s="3"/>
      <c r="F59" s="3"/>
      <c r="H59" s="3"/>
      <c r="I59" s="3"/>
      <c r="J59" s="3"/>
    </row>
    <row r="60" ht="15.75" customHeight="1">
      <c r="E60" s="3"/>
      <c r="F60" s="3"/>
      <c r="H60" s="3"/>
      <c r="I60" s="3"/>
      <c r="J60" s="3"/>
    </row>
    <row r="61" ht="15.75" customHeight="1">
      <c r="E61" s="3"/>
      <c r="F61" s="3"/>
      <c r="H61" s="3"/>
      <c r="I61" s="3"/>
      <c r="J61" s="3"/>
    </row>
    <row r="62" ht="15.75" customHeight="1">
      <c r="E62" s="3"/>
      <c r="F62" s="3"/>
      <c r="H62" s="3"/>
      <c r="I62" s="3"/>
      <c r="J62" s="3"/>
    </row>
    <row r="63" ht="15.75" customHeight="1">
      <c r="E63" s="3"/>
      <c r="F63" s="3"/>
      <c r="H63" s="3"/>
      <c r="I63" s="3"/>
      <c r="J63" s="3"/>
    </row>
    <row r="64" ht="15.75" customHeight="1">
      <c r="E64" s="3"/>
      <c r="F64" s="3"/>
      <c r="H64" s="3"/>
      <c r="I64" s="3"/>
      <c r="J64" s="3"/>
    </row>
    <row r="65" ht="15.75" customHeight="1">
      <c r="E65" s="3"/>
      <c r="F65" s="3"/>
      <c r="H65" s="3"/>
      <c r="I65" s="3"/>
      <c r="J65" s="3"/>
    </row>
    <row r="66" ht="15.75" customHeight="1">
      <c r="E66" s="3"/>
      <c r="F66" s="3"/>
      <c r="H66" s="3"/>
      <c r="I66" s="3"/>
      <c r="J66" s="3"/>
    </row>
    <row r="67" ht="15.75" customHeight="1">
      <c r="E67" s="3"/>
      <c r="F67" s="3"/>
      <c r="H67" s="3"/>
      <c r="I67" s="3"/>
      <c r="J67" s="3"/>
    </row>
    <row r="68" ht="15.75" customHeight="1">
      <c r="E68" s="3"/>
      <c r="F68" s="3"/>
      <c r="H68" s="3"/>
      <c r="I68" s="3"/>
      <c r="J68" s="3"/>
    </row>
    <row r="69" ht="15.75" customHeight="1">
      <c r="E69" s="3"/>
      <c r="F69" s="3"/>
      <c r="H69" s="3"/>
      <c r="I69" s="3"/>
      <c r="J69" s="3"/>
    </row>
    <row r="70" ht="15.75" customHeight="1">
      <c r="E70" s="3"/>
      <c r="F70" s="3"/>
      <c r="H70" s="3"/>
      <c r="I70" s="3"/>
      <c r="J70" s="3"/>
    </row>
    <row r="71" ht="15.75" customHeight="1">
      <c r="E71" s="3"/>
      <c r="F71" s="3"/>
      <c r="H71" s="3"/>
      <c r="I71" s="3"/>
      <c r="J71" s="3"/>
    </row>
    <row r="72" ht="15.75" customHeight="1">
      <c r="E72" s="3"/>
      <c r="F72" s="3"/>
      <c r="H72" s="3"/>
      <c r="I72" s="3"/>
      <c r="J72" s="3"/>
    </row>
    <row r="73" ht="15.75" customHeight="1">
      <c r="E73" s="3"/>
      <c r="F73" s="3"/>
      <c r="H73" s="3"/>
      <c r="I73" s="3"/>
      <c r="J73" s="3"/>
    </row>
    <row r="74" ht="15.75" customHeight="1">
      <c r="E74" s="3"/>
      <c r="F74" s="3"/>
      <c r="H74" s="3"/>
      <c r="I74" s="3"/>
      <c r="J74" s="3"/>
    </row>
    <row r="75" ht="15.75" customHeight="1">
      <c r="E75" s="3"/>
      <c r="F75" s="3"/>
      <c r="H75" s="3"/>
      <c r="I75" s="3"/>
      <c r="J75" s="3"/>
    </row>
    <row r="76" ht="15.75" customHeight="1">
      <c r="E76" s="3"/>
      <c r="F76" s="3"/>
      <c r="H76" s="3"/>
      <c r="I76" s="3"/>
      <c r="J76" s="3"/>
    </row>
    <row r="77" ht="15.75" customHeight="1">
      <c r="E77" s="3"/>
      <c r="F77" s="3"/>
      <c r="H77" s="3"/>
      <c r="I77" s="3"/>
      <c r="J77" s="3"/>
    </row>
    <row r="78" ht="15.75" customHeight="1">
      <c r="E78" s="3"/>
      <c r="F78" s="3"/>
      <c r="H78" s="3"/>
      <c r="I78" s="3"/>
      <c r="J78" s="3"/>
    </row>
    <row r="79" ht="15.75" customHeight="1">
      <c r="E79" s="3"/>
      <c r="F79" s="3"/>
      <c r="H79" s="3"/>
      <c r="I79" s="3"/>
      <c r="J79" s="3"/>
    </row>
    <row r="80" ht="15.75" customHeight="1">
      <c r="E80" s="3"/>
      <c r="F80" s="3"/>
      <c r="H80" s="3"/>
      <c r="I80" s="3"/>
      <c r="J80" s="3"/>
    </row>
    <row r="81" ht="15.75" customHeight="1">
      <c r="E81" s="3"/>
      <c r="F81" s="3"/>
      <c r="H81" s="3"/>
      <c r="I81" s="3"/>
      <c r="J81" s="3"/>
    </row>
    <row r="82" ht="15.75" customHeight="1">
      <c r="E82" s="3"/>
      <c r="F82" s="3"/>
      <c r="H82" s="3"/>
      <c r="I82" s="3"/>
      <c r="J82" s="3"/>
    </row>
    <row r="83" ht="15.75" customHeight="1">
      <c r="E83" s="3"/>
      <c r="F83" s="3"/>
      <c r="H83" s="3"/>
      <c r="I83" s="3"/>
      <c r="J83" s="3"/>
    </row>
    <row r="84" ht="15.75" customHeight="1">
      <c r="E84" s="3"/>
      <c r="F84" s="3"/>
      <c r="H84" s="3"/>
      <c r="I84" s="3"/>
      <c r="J84" s="3"/>
    </row>
    <row r="85" ht="15.75" customHeight="1">
      <c r="E85" s="3"/>
      <c r="F85" s="3"/>
      <c r="H85" s="3"/>
      <c r="I85" s="3"/>
      <c r="J85" s="3"/>
    </row>
    <row r="86" ht="15.75" customHeight="1">
      <c r="E86" s="3"/>
      <c r="F86" s="3"/>
      <c r="H86" s="3"/>
      <c r="I86" s="3"/>
      <c r="J86" s="3"/>
    </row>
    <row r="87" ht="15.75" customHeight="1">
      <c r="E87" s="3"/>
      <c r="F87" s="3"/>
      <c r="H87" s="3"/>
      <c r="I87" s="3"/>
      <c r="J87" s="3"/>
    </row>
    <row r="88" ht="15.75" customHeight="1">
      <c r="E88" s="3"/>
      <c r="F88" s="3"/>
      <c r="H88" s="3"/>
      <c r="I88" s="3"/>
      <c r="J88" s="3"/>
    </row>
    <row r="89" ht="15.75" customHeight="1">
      <c r="E89" s="3"/>
      <c r="F89" s="3"/>
      <c r="H89" s="3"/>
      <c r="I89" s="3"/>
      <c r="J89" s="3"/>
    </row>
    <row r="90" ht="15.75" customHeight="1">
      <c r="E90" s="3"/>
      <c r="F90" s="3"/>
      <c r="H90" s="3"/>
      <c r="I90" s="3"/>
      <c r="J90" s="3"/>
    </row>
    <row r="91" ht="15.75" customHeight="1">
      <c r="E91" s="3"/>
      <c r="F91" s="3"/>
      <c r="H91" s="3"/>
      <c r="I91" s="3"/>
      <c r="J91" s="3"/>
    </row>
    <row r="92" ht="15.75" customHeight="1">
      <c r="E92" s="3"/>
      <c r="F92" s="3"/>
      <c r="H92" s="3"/>
      <c r="I92" s="3"/>
      <c r="J92" s="3"/>
    </row>
    <row r="93" ht="15.75" customHeight="1">
      <c r="E93" s="3"/>
      <c r="F93" s="3"/>
      <c r="H93" s="3"/>
      <c r="I93" s="3"/>
      <c r="J93" s="3"/>
    </row>
    <row r="94" ht="15.75" customHeight="1">
      <c r="E94" s="3"/>
      <c r="F94" s="3"/>
      <c r="H94" s="3"/>
      <c r="I94" s="3"/>
      <c r="J94" s="3"/>
    </row>
    <row r="95" ht="15.75" customHeight="1">
      <c r="E95" s="3"/>
      <c r="F95" s="3"/>
      <c r="H95" s="3"/>
      <c r="I95" s="3"/>
      <c r="J95" s="3"/>
    </row>
    <row r="96" ht="15.75" customHeight="1">
      <c r="E96" s="3"/>
      <c r="F96" s="3"/>
      <c r="H96" s="3"/>
      <c r="I96" s="3"/>
      <c r="J96" s="3"/>
    </row>
    <row r="97" ht="15.75" customHeight="1">
      <c r="E97" s="3"/>
      <c r="F97" s="3"/>
      <c r="H97" s="3"/>
      <c r="I97" s="3"/>
      <c r="J97" s="3"/>
    </row>
    <row r="98" ht="15.75" customHeight="1">
      <c r="E98" s="3"/>
      <c r="F98" s="3"/>
      <c r="H98" s="3"/>
      <c r="I98" s="3"/>
      <c r="J98" s="3"/>
    </row>
    <row r="99" ht="15.75" customHeight="1">
      <c r="E99" s="3"/>
      <c r="F99" s="3"/>
      <c r="H99" s="3"/>
      <c r="I99" s="3"/>
      <c r="J99" s="3"/>
    </row>
    <row r="100" ht="15.75" customHeight="1">
      <c r="E100" s="3"/>
      <c r="F100" s="3"/>
      <c r="H100" s="3"/>
      <c r="I100" s="3"/>
      <c r="J100" s="3"/>
    </row>
    <row r="101" ht="15.75" customHeight="1">
      <c r="E101" s="3"/>
      <c r="F101" s="3"/>
      <c r="H101" s="3"/>
      <c r="I101" s="3"/>
      <c r="J101" s="3"/>
    </row>
    <row r="102" ht="15.75" customHeight="1">
      <c r="E102" s="3"/>
      <c r="F102" s="3"/>
      <c r="H102" s="3"/>
      <c r="I102" s="3"/>
      <c r="J102" s="3"/>
    </row>
    <row r="103" ht="15.75" customHeight="1">
      <c r="E103" s="3"/>
      <c r="F103" s="3"/>
      <c r="H103" s="3"/>
      <c r="I103" s="3"/>
      <c r="J103" s="3"/>
    </row>
    <row r="104" ht="15.75" customHeight="1">
      <c r="E104" s="3"/>
      <c r="F104" s="3"/>
      <c r="H104" s="3"/>
      <c r="I104" s="3"/>
      <c r="J104" s="3"/>
    </row>
    <row r="105" ht="15.75" customHeight="1">
      <c r="E105" s="3"/>
      <c r="F105" s="3"/>
      <c r="H105" s="3"/>
      <c r="I105" s="3"/>
      <c r="J105" s="3"/>
    </row>
    <row r="106" ht="15.75" customHeight="1">
      <c r="E106" s="3"/>
      <c r="F106" s="3"/>
      <c r="H106" s="3"/>
      <c r="I106" s="3"/>
      <c r="J106" s="3"/>
    </row>
    <row r="107" ht="15.75" customHeight="1">
      <c r="E107" s="3"/>
      <c r="F107" s="3"/>
      <c r="H107" s="3"/>
      <c r="I107" s="3"/>
      <c r="J107" s="3"/>
    </row>
    <row r="108" ht="15.75" customHeight="1">
      <c r="E108" s="3"/>
      <c r="F108" s="3"/>
      <c r="H108" s="3"/>
      <c r="I108" s="3"/>
      <c r="J108" s="3"/>
    </row>
    <row r="109" ht="15.75" customHeight="1">
      <c r="E109" s="3"/>
      <c r="F109" s="3"/>
      <c r="H109" s="3"/>
      <c r="I109" s="3"/>
      <c r="J109" s="3"/>
    </row>
    <row r="110" ht="15.75" customHeight="1">
      <c r="E110" s="3"/>
      <c r="F110" s="3"/>
      <c r="H110" s="3"/>
      <c r="I110" s="3"/>
      <c r="J110" s="3"/>
    </row>
    <row r="111" ht="15.75" customHeight="1">
      <c r="E111" s="3"/>
      <c r="F111" s="3"/>
      <c r="H111" s="3"/>
      <c r="I111" s="3"/>
      <c r="J111" s="3"/>
    </row>
    <row r="112" ht="15.75" customHeight="1">
      <c r="E112" s="3"/>
      <c r="F112" s="3"/>
      <c r="H112" s="3"/>
      <c r="I112" s="3"/>
      <c r="J112" s="3"/>
    </row>
    <row r="113" ht="15.75" customHeight="1">
      <c r="E113" s="3"/>
      <c r="F113" s="3"/>
      <c r="H113" s="3"/>
      <c r="I113" s="3"/>
      <c r="J113" s="3"/>
    </row>
    <row r="114" ht="15.75" customHeight="1">
      <c r="E114" s="3"/>
      <c r="F114" s="3"/>
      <c r="H114" s="3"/>
      <c r="I114" s="3"/>
      <c r="J114" s="3"/>
    </row>
    <row r="115" ht="15.75" customHeight="1">
      <c r="E115" s="3"/>
      <c r="F115" s="3"/>
      <c r="H115" s="3"/>
      <c r="I115" s="3"/>
      <c r="J115" s="3"/>
    </row>
    <row r="116" ht="15.75" customHeight="1">
      <c r="E116" s="3"/>
      <c r="F116" s="3"/>
      <c r="H116" s="3"/>
      <c r="I116" s="3"/>
      <c r="J116" s="3"/>
    </row>
    <row r="117" ht="15.75" customHeight="1">
      <c r="E117" s="3"/>
      <c r="F117" s="3"/>
      <c r="H117" s="3"/>
      <c r="I117" s="3"/>
      <c r="J117" s="3"/>
    </row>
    <row r="118" ht="15.75" customHeight="1">
      <c r="E118" s="3"/>
      <c r="F118" s="3"/>
      <c r="H118" s="3"/>
      <c r="I118" s="3"/>
      <c r="J118" s="3"/>
    </row>
    <row r="119" ht="15.75" customHeight="1">
      <c r="E119" s="3"/>
      <c r="F119" s="3"/>
      <c r="H119" s="3"/>
      <c r="I119" s="3"/>
      <c r="J119" s="3"/>
    </row>
    <row r="120" ht="15.75" customHeight="1">
      <c r="E120" s="3"/>
      <c r="F120" s="3"/>
      <c r="H120" s="3"/>
      <c r="I120" s="3"/>
      <c r="J120" s="3"/>
    </row>
    <row r="121" ht="15.75" customHeight="1">
      <c r="E121" s="3"/>
      <c r="F121" s="3"/>
      <c r="H121" s="3"/>
      <c r="I121" s="3"/>
      <c r="J121" s="3"/>
    </row>
    <row r="122" ht="15.75" customHeight="1">
      <c r="E122" s="3"/>
      <c r="F122" s="3"/>
      <c r="H122" s="3"/>
      <c r="I122" s="3"/>
      <c r="J122" s="3"/>
    </row>
    <row r="123" ht="15.75" customHeight="1">
      <c r="E123" s="3"/>
      <c r="F123" s="3"/>
      <c r="H123" s="3"/>
      <c r="I123" s="3"/>
      <c r="J123" s="3"/>
    </row>
    <row r="124" ht="15.75" customHeight="1">
      <c r="E124" s="3"/>
      <c r="F124" s="3"/>
      <c r="H124" s="3"/>
      <c r="I124" s="3"/>
      <c r="J124" s="3"/>
    </row>
    <row r="125" ht="15.75" customHeight="1">
      <c r="E125" s="3"/>
      <c r="F125" s="3"/>
      <c r="H125" s="3"/>
      <c r="I125" s="3"/>
      <c r="J125" s="3"/>
    </row>
    <row r="126" ht="15.75" customHeight="1">
      <c r="E126" s="3"/>
      <c r="F126" s="3"/>
      <c r="H126" s="3"/>
      <c r="I126" s="3"/>
      <c r="J126" s="3"/>
    </row>
    <row r="127" ht="15.75" customHeight="1">
      <c r="E127" s="3"/>
      <c r="F127" s="3"/>
      <c r="H127" s="3"/>
      <c r="I127" s="3"/>
      <c r="J127" s="3"/>
    </row>
    <row r="128" ht="15.75" customHeight="1">
      <c r="E128" s="3"/>
      <c r="F128" s="3"/>
      <c r="H128" s="3"/>
      <c r="I128" s="3"/>
      <c r="J128" s="3"/>
    </row>
    <row r="129" ht="15.75" customHeight="1">
      <c r="E129" s="3"/>
      <c r="F129" s="3"/>
      <c r="H129" s="3"/>
      <c r="I129" s="3"/>
      <c r="J129" s="3"/>
    </row>
    <row r="130" ht="15.75" customHeight="1">
      <c r="E130" s="3"/>
      <c r="F130" s="3"/>
      <c r="H130" s="3"/>
      <c r="I130" s="3"/>
      <c r="J130" s="3"/>
    </row>
    <row r="131" ht="15.75" customHeight="1">
      <c r="E131" s="3"/>
      <c r="F131" s="3"/>
      <c r="H131" s="3"/>
      <c r="I131" s="3"/>
      <c r="J131" s="3"/>
    </row>
    <row r="132" ht="15.75" customHeight="1">
      <c r="E132" s="3"/>
      <c r="F132" s="3"/>
      <c r="H132" s="3"/>
      <c r="I132" s="3"/>
      <c r="J132" s="3"/>
    </row>
    <row r="133" ht="15.75" customHeight="1">
      <c r="E133" s="3"/>
      <c r="F133" s="3"/>
      <c r="H133" s="3"/>
      <c r="I133" s="3"/>
      <c r="J133" s="3"/>
    </row>
    <row r="134" ht="15.75" customHeight="1">
      <c r="E134" s="3"/>
      <c r="F134" s="3"/>
      <c r="H134" s="3"/>
      <c r="I134" s="3"/>
      <c r="J134" s="3"/>
    </row>
    <row r="135" ht="15.75" customHeight="1">
      <c r="E135" s="3"/>
      <c r="F135" s="3"/>
      <c r="H135" s="3"/>
      <c r="I135" s="3"/>
      <c r="J135" s="3"/>
    </row>
    <row r="136" ht="15.75" customHeight="1">
      <c r="E136" s="3"/>
      <c r="F136" s="3"/>
      <c r="H136" s="3"/>
      <c r="I136" s="3"/>
      <c r="J136" s="3"/>
    </row>
    <row r="137" ht="15.75" customHeight="1">
      <c r="E137" s="3"/>
      <c r="F137" s="3"/>
      <c r="H137" s="3"/>
      <c r="I137" s="3"/>
      <c r="J137" s="3"/>
    </row>
    <row r="138" ht="15.75" customHeight="1">
      <c r="E138" s="3"/>
      <c r="F138" s="3"/>
      <c r="H138" s="3"/>
      <c r="I138" s="3"/>
      <c r="J138" s="3"/>
    </row>
    <row r="139" ht="15.75" customHeight="1">
      <c r="E139" s="3"/>
      <c r="F139" s="3"/>
      <c r="H139" s="3"/>
      <c r="I139" s="3"/>
      <c r="J139" s="3"/>
    </row>
    <row r="140" ht="15.75" customHeight="1">
      <c r="E140" s="3"/>
      <c r="F140" s="3"/>
      <c r="H140" s="3"/>
      <c r="I140" s="3"/>
      <c r="J140" s="3"/>
    </row>
    <row r="141" ht="15.75" customHeight="1">
      <c r="E141" s="3"/>
      <c r="F141" s="3"/>
      <c r="H141" s="3"/>
      <c r="I141" s="3"/>
      <c r="J141" s="3"/>
    </row>
    <row r="142" ht="15.75" customHeight="1">
      <c r="E142" s="3"/>
      <c r="F142" s="3"/>
      <c r="H142" s="3"/>
      <c r="I142" s="3"/>
      <c r="J142" s="3"/>
    </row>
    <row r="143" ht="15.75" customHeight="1">
      <c r="E143" s="3"/>
      <c r="F143" s="3"/>
      <c r="H143" s="3"/>
      <c r="I143" s="3"/>
      <c r="J143" s="3"/>
    </row>
    <row r="144" ht="15.75" customHeight="1">
      <c r="E144" s="3"/>
      <c r="F144" s="3"/>
      <c r="H144" s="3"/>
      <c r="I144" s="3"/>
      <c r="J144" s="3"/>
    </row>
    <row r="145" ht="15.75" customHeight="1">
      <c r="E145" s="3"/>
      <c r="F145" s="3"/>
      <c r="H145" s="3"/>
      <c r="I145" s="3"/>
      <c r="J145" s="3"/>
    </row>
    <row r="146" ht="15.75" customHeight="1">
      <c r="E146" s="3"/>
      <c r="F146" s="3"/>
      <c r="H146" s="3"/>
      <c r="I146" s="3"/>
      <c r="J146" s="3"/>
    </row>
    <row r="147" ht="15.75" customHeight="1">
      <c r="E147" s="3"/>
      <c r="F147" s="3"/>
      <c r="H147" s="3"/>
      <c r="I147" s="3"/>
      <c r="J147" s="3"/>
    </row>
    <row r="148" ht="15.75" customHeight="1">
      <c r="E148" s="3"/>
      <c r="F148" s="3"/>
      <c r="H148" s="3"/>
      <c r="I148" s="3"/>
      <c r="J148" s="3"/>
    </row>
    <row r="149" ht="15.75" customHeight="1">
      <c r="E149" s="3"/>
      <c r="F149" s="3"/>
      <c r="H149" s="3"/>
      <c r="I149" s="3"/>
      <c r="J149" s="3"/>
    </row>
    <row r="150" ht="15.75" customHeight="1">
      <c r="E150" s="3"/>
      <c r="F150" s="3"/>
      <c r="H150" s="3"/>
      <c r="I150" s="3"/>
      <c r="J150" s="3"/>
    </row>
    <row r="151" ht="15.75" customHeight="1">
      <c r="E151" s="3"/>
      <c r="F151" s="3"/>
      <c r="H151" s="3"/>
      <c r="I151" s="3"/>
      <c r="J151" s="3"/>
    </row>
    <row r="152" ht="15.75" customHeight="1">
      <c r="E152" s="3"/>
      <c r="F152" s="3"/>
      <c r="H152" s="3"/>
      <c r="I152" s="3"/>
      <c r="J152" s="3"/>
    </row>
    <row r="153" ht="15.75" customHeight="1">
      <c r="E153" s="3"/>
      <c r="F153" s="3"/>
      <c r="H153" s="3"/>
      <c r="I153" s="3"/>
      <c r="J153" s="3"/>
    </row>
    <row r="154" ht="15.75" customHeight="1">
      <c r="E154" s="3"/>
      <c r="F154" s="3"/>
      <c r="H154" s="3"/>
      <c r="I154" s="3"/>
      <c r="J154" s="3"/>
    </row>
    <row r="155" ht="15.75" customHeight="1">
      <c r="E155" s="3"/>
      <c r="F155" s="3"/>
      <c r="H155" s="3"/>
      <c r="I155" s="3"/>
      <c r="J155" s="3"/>
    </row>
    <row r="156" ht="15.75" customHeight="1">
      <c r="E156" s="3"/>
      <c r="F156" s="3"/>
      <c r="H156" s="3"/>
      <c r="I156" s="3"/>
      <c r="J156" s="3"/>
    </row>
    <row r="157" ht="15.75" customHeight="1">
      <c r="E157" s="3"/>
      <c r="F157" s="3"/>
      <c r="H157" s="3"/>
      <c r="I157" s="3"/>
      <c r="J157" s="3"/>
    </row>
    <row r="158" ht="15.75" customHeight="1">
      <c r="E158" s="3"/>
      <c r="F158" s="3"/>
      <c r="H158" s="3"/>
      <c r="I158" s="3"/>
      <c r="J158" s="3"/>
    </row>
    <row r="159" ht="15.75" customHeight="1">
      <c r="E159" s="3"/>
      <c r="F159" s="3"/>
      <c r="H159" s="3"/>
      <c r="I159" s="3"/>
      <c r="J159" s="3"/>
    </row>
    <row r="160" ht="15.75" customHeight="1">
      <c r="E160" s="3"/>
      <c r="F160" s="3"/>
      <c r="H160" s="3"/>
      <c r="I160" s="3"/>
      <c r="J160" s="3"/>
    </row>
    <row r="161" ht="15.75" customHeight="1">
      <c r="E161" s="3"/>
      <c r="F161" s="3"/>
      <c r="H161" s="3"/>
      <c r="I161" s="3"/>
      <c r="J161" s="3"/>
    </row>
    <row r="162" ht="15.75" customHeight="1">
      <c r="E162" s="3"/>
      <c r="F162" s="3"/>
      <c r="H162" s="3"/>
      <c r="I162" s="3"/>
      <c r="J162" s="3"/>
    </row>
    <row r="163" ht="15.75" customHeight="1">
      <c r="E163" s="3"/>
      <c r="F163" s="3"/>
      <c r="H163" s="3"/>
      <c r="I163" s="3"/>
      <c r="J163" s="3"/>
    </row>
    <row r="164" ht="15.75" customHeight="1">
      <c r="E164" s="3"/>
      <c r="F164" s="3"/>
      <c r="H164" s="3"/>
      <c r="I164" s="3"/>
      <c r="J164" s="3"/>
    </row>
    <row r="165" ht="15.75" customHeight="1">
      <c r="E165" s="3"/>
      <c r="F165" s="3"/>
      <c r="H165" s="3"/>
      <c r="I165" s="3"/>
      <c r="J165" s="3"/>
    </row>
    <row r="166" ht="15.75" customHeight="1">
      <c r="E166" s="3"/>
      <c r="F166" s="3"/>
      <c r="H166" s="3"/>
      <c r="I166" s="3"/>
      <c r="J166" s="3"/>
    </row>
    <row r="167" ht="15.75" customHeight="1">
      <c r="E167" s="3"/>
      <c r="F167" s="3"/>
      <c r="H167" s="3"/>
      <c r="I167" s="3"/>
      <c r="J167" s="3"/>
    </row>
    <row r="168" ht="15.75" customHeight="1">
      <c r="E168" s="3"/>
      <c r="F168" s="3"/>
      <c r="H168" s="3"/>
      <c r="I168" s="3"/>
      <c r="J168" s="3"/>
    </row>
    <row r="169" ht="15.75" customHeight="1">
      <c r="E169" s="3"/>
      <c r="F169" s="3"/>
      <c r="H169" s="3"/>
      <c r="I169" s="3"/>
      <c r="J169" s="3"/>
    </row>
    <row r="170" ht="15.75" customHeight="1">
      <c r="E170" s="3"/>
      <c r="F170" s="3"/>
      <c r="H170" s="3"/>
      <c r="I170" s="3"/>
      <c r="J170" s="3"/>
    </row>
    <row r="171" ht="15.75" customHeight="1">
      <c r="E171" s="3"/>
      <c r="F171" s="3"/>
      <c r="H171" s="3"/>
      <c r="I171" s="3"/>
      <c r="J171" s="3"/>
    </row>
    <row r="172" ht="15.75" customHeight="1">
      <c r="E172" s="3"/>
      <c r="F172" s="3"/>
      <c r="H172" s="3"/>
      <c r="I172" s="3"/>
      <c r="J172" s="3"/>
    </row>
    <row r="173" ht="15.75" customHeight="1">
      <c r="E173" s="3"/>
      <c r="F173" s="3"/>
      <c r="H173" s="3"/>
      <c r="I173" s="3"/>
      <c r="J173" s="3"/>
    </row>
    <row r="174" ht="15.75" customHeight="1">
      <c r="E174" s="3"/>
      <c r="F174" s="3"/>
      <c r="H174" s="3"/>
      <c r="I174" s="3"/>
      <c r="J174" s="3"/>
    </row>
    <row r="175" ht="15.75" customHeight="1">
      <c r="E175" s="3"/>
      <c r="F175" s="3"/>
      <c r="H175" s="3"/>
      <c r="I175" s="3"/>
      <c r="J175" s="3"/>
    </row>
    <row r="176" ht="15.75" customHeight="1">
      <c r="E176" s="3"/>
      <c r="F176" s="3"/>
      <c r="H176" s="3"/>
      <c r="I176" s="3"/>
      <c r="J176" s="3"/>
    </row>
    <row r="177" ht="15.75" customHeight="1">
      <c r="E177" s="3"/>
      <c r="F177" s="3"/>
      <c r="H177" s="3"/>
      <c r="I177" s="3"/>
      <c r="J177" s="3"/>
    </row>
    <row r="178" ht="15.75" customHeight="1">
      <c r="E178" s="3"/>
      <c r="F178" s="3"/>
      <c r="H178" s="3"/>
      <c r="I178" s="3"/>
      <c r="J178" s="3"/>
    </row>
    <row r="179" ht="15.75" customHeight="1">
      <c r="E179" s="3"/>
      <c r="F179" s="3"/>
      <c r="H179" s="3"/>
      <c r="I179" s="3"/>
      <c r="J179" s="3"/>
    </row>
    <row r="180" ht="15.75" customHeight="1">
      <c r="E180" s="3"/>
      <c r="F180" s="3"/>
      <c r="H180" s="3"/>
      <c r="I180" s="3"/>
      <c r="J180" s="3"/>
    </row>
    <row r="181" ht="15.75" customHeight="1">
      <c r="E181" s="3"/>
      <c r="F181" s="3"/>
      <c r="H181" s="3"/>
      <c r="I181" s="3"/>
      <c r="J181" s="3"/>
    </row>
    <row r="182" ht="15.75" customHeight="1">
      <c r="E182" s="3"/>
      <c r="F182" s="3"/>
      <c r="H182" s="3"/>
      <c r="I182" s="3"/>
      <c r="J182" s="3"/>
    </row>
    <row r="183" ht="15.75" customHeight="1">
      <c r="E183" s="3"/>
      <c r="F183" s="3"/>
      <c r="H183" s="3"/>
      <c r="I183" s="3"/>
      <c r="J183" s="3"/>
    </row>
    <row r="184" ht="15.75" customHeight="1">
      <c r="E184" s="3"/>
      <c r="F184" s="3"/>
      <c r="H184" s="3"/>
      <c r="I184" s="3"/>
      <c r="J184" s="3"/>
    </row>
    <row r="185" ht="15.75" customHeight="1">
      <c r="E185" s="3"/>
      <c r="F185" s="3"/>
      <c r="H185" s="3"/>
      <c r="I185" s="3"/>
      <c r="J185" s="3"/>
    </row>
    <row r="186" ht="15.75" customHeight="1">
      <c r="E186" s="3"/>
      <c r="F186" s="3"/>
      <c r="H186" s="3"/>
      <c r="I186" s="3"/>
      <c r="J186" s="3"/>
    </row>
    <row r="187" ht="15.75" customHeight="1">
      <c r="E187" s="3"/>
      <c r="F187" s="3"/>
      <c r="H187" s="3"/>
      <c r="I187" s="3"/>
      <c r="J187" s="3"/>
    </row>
    <row r="188" ht="15.75" customHeight="1">
      <c r="E188" s="3"/>
      <c r="F188" s="3"/>
      <c r="H188" s="3"/>
      <c r="I188" s="3"/>
      <c r="J188" s="3"/>
    </row>
    <row r="189" ht="15.75" customHeight="1">
      <c r="E189" s="3"/>
      <c r="F189" s="3"/>
      <c r="H189" s="3"/>
      <c r="I189" s="3"/>
      <c r="J189" s="3"/>
    </row>
    <row r="190" ht="15.75" customHeight="1">
      <c r="E190" s="3"/>
      <c r="F190" s="3"/>
      <c r="H190" s="3"/>
      <c r="I190" s="3"/>
      <c r="J190" s="3"/>
    </row>
    <row r="191" ht="15.75" customHeight="1">
      <c r="E191" s="3"/>
      <c r="F191" s="3"/>
      <c r="H191" s="3"/>
      <c r="I191" s="3"/>
      <c r="J191" s="3"/>
    </row>
    <row r="192" ht="15.75" customHeight="1">
      <c r="E192" s="3"/>
      <c r="F192" s="3"/>
      <c r="H192" s="3"/>
      <c r="I192" s="3"/>
      <c r="J192" s="3"/>
    </row>
    <row r="193" ht="15.75" customHeight="1">
      <c r="E193" s="3"/>
      <c r="F193" s="3"/>
      <c r="H193" s="3"/>
      <c r="I193" s="3"/>
      <c r="J193" s="3"/>
    </row>
    <row r="194" ht="15.75" customHeight="1">
      <c r="E194" s="3"/>
      <c r="F194" s="3"/>
      <c r="H194" s="3"/>
      <c r="I194" s="3"/>
      <c r="J194" s="3"/>
    </row>
    <row r="195" ht="15.75" customHeight="1">
      <c r="E195" s="3"/>
      <c r="F195" s="3"/>
      <c r="H195" s="3"/>
      <c r="I195" s="3"/>
      <c r="J195" s="3"/>
    </row>
    <row r="196" ht="15.75" customHeight="1">
      <c r="E196" s="3"/>
      <c r="F196" s="3"/>
      <c r="H196" s="3"/>
      <c r="I196" s="3"/>
      <c r="J196" s="3"/>
    </row>
    <row r="197" ht="15.75" customHeight="1">
      <c r="E197" s="3"/>
      <c r="F197" s="3"/>
      <c r="H197" s="3"/>
      <c r="I197" s="3"/>
      <c r="J197" s="3"/>
    </row>
    <row r="198" ht="15.75" customHeight="1">
      <c r="E198" s="3"/>
      <c r="F198" s="3"/>
      <c r="H198" s="3"/>
      <c r="I198" s="3"/>
      <c r="J198" s="3"/>
    </row>
    <row r="199" ht="15.75" customHeight="1">
      <c r="E199" s="3"/>
      <c r="F199" s="3"/>
      <c r="H199" s="3"/>
      <c r="I199" s="3"/>
      <c r="J199" s="3"/>
    </row>
    <row r="200" ht="15.75" customHeight="1">
      <c r="E200" s="3"/>
      <c r="F200" s="3"/>
      <c r="H200" s="3"/>
      <c r="I200" s="3"/>
      <c r="J200" s="3"/>
    </row>
    <row r="201" ht="15.75" customHeight="1">
      <c r="E201" s="3"/>
      <c r="F201" s="3"/>
      <c r="H201" s="3"/>
      <c r="I201" s="3"/>
      <c r="J201" s="3"/>
    </row>
    <row r="202" ht="15.75" customHeight="1">
      <c r="E202" s="3"/>
      <c r="F202" s="3"/>
      <c r="H202" s="3"/>
      <c r="I202" s="3"/>
      <c r="J202" s="3"/>
    </row>
    <row r="203" ht="15.75" customHeight="1">
      <c r="E203" s="3"/>
      <c r="F203" s="3"/>
      <c r="H203" s="3"/>
      <c r="I203" s="3"/>
      <c r="J203" s="3"/>
    </row>
    <row r="204" ht="15.75" customHeight="1">
      <c r="E204" s="3"/>
      <c r="F204" s="3"/>
      <c r="H204" s="3"/>
      <c r="I204" s="3"/>
      <c r="J204" s="3"/>
    </row>
    <row r="205" ht="15.75" customHeight="1">
      <c r="E205" s="3"/>
      <c r="F205" s="3"/>
      <c r="H205" s="3"/>
      <c r="I205" s="3"/>
      <c r="J205" s="3"/>
    </row>
    <row r="206" ht="15.75" customHeight="1">
      <c r="E206" s="3"/>
      <c r="F206" s="3"/>
      <c r="H206" s="3"/>
      <c r="I206" s="3"/>
      <c r="J206" s="3"/>
    </row>
    <row r="207" ht="15.75" customHeight="1">
      <c r="E207" s="3"/>
      <c r="F207" s="3"/>
      <c r="H207" s="3"/>
      <c r="I207" s="3"/>
      <c r="J207" s="3"/>
    </row>
    <row r="208" ht="15.75" customHeight="1">
      <c r="E208" s="3"/>
      <c r="F208" s="3"/>
      <c r="H208" s="3"/>
      <c r="I208" s="3"/>
      <c r="J208" s="3"/>
    </row>
    <row r="209" ht="15.75" customHeight="1">
      <c r="E209" s="3"/>
      <c r="F209" s="3"/>
      <c r="H209" s="3"/>
      <c r="I209" s="3"/>
      <c r="J209" s="3"/>
    </row>
    <row r="210" ht="15.75" customHeight="1">
      <c r="E210" s="3"/>
      <c r="F210" s="3"/>
      <c r="H210" s="3"/>
      <c r="I210" s="3"/>
      <c r="J210" s="3"/>
    </row>
    <row r="211" ht="15.75" customHeight="1">
      <c r="E211" s="3"/>
      <c r="F211" s="3"/>
      <c r="H211" s="3"/>
      <c r="I211" s="3"/>
      <c r="J211" s="3"/>
    </row>
    <row r="212" ht="15.75" customHeight="1">
      <c r="E212" s="3"/>
      <c r="F212" s="3"/>
      <c r="H212" s="3"/>
      <c r="I212" s="3"/>
      <c r="J212" s="3"/>
    </row>
    <row r="213" ht="15.75" customHeight="1">
      <c r="E213" s="3"/>
      <c r="F213" s="3"/>
      <c r="H213" s="3"/>
      <c r="I213" s="3"/>
      <c r="J213" s="3"/>
    </row>
    <row r="214" ht="15.75" customHeight="1">
      <c r="E214" s="3"/>
      <c r="F214" s="3"/>
      <c r="H214" s="3"/>
      <c r="I214" s="3"/>
      <c r="J214" s="3"/>
    </row>
    <row r="215" ht="15.75" customHeight="1">
      <c r="E215" s="3"/>
      <c r="F215" s="3"/>
      <c r="H215" s="3"/>
      <c r="I215" s="3"/>
      <c r="J215" s="3"/>
    </row>
    <row r="216" ht="15.75" customHeight="1">
      <c r="E216" s="3"/>
      <c r="F216" s="3"/>
      <c r="H216" s="3"/>
      <c r="I216" s="3"/>
      <c r="J216" s="3"/>
    </row>
    <row r="217" ht="15.75" customHeight="1">
      <c r="E217" s="3"/>
      <c r="F217" s="3"/>
      <c r="H217" s="3"/>
      <c r="I217" s="3"/>
      <c r="J217" s="3"/>
    </row>
    <row r="218" ht="15.75" customHeight="1">
      <c r="E218" s="3"/>
      <c r="F218" s="3"/>
      <c r="H218" s="3"/>
      <c r="I218" s="3"/>
      <c r="J218" s="3"/>
    </row>
    <row r="219" ht="15.75" customHeight="1">
      <c r="E219" s="3"/>
      <c r="F219" s="3"/>
      <c r="H219" s="3"/>
      <c r="I219" s="3"/>
      <c r="J219" s="3"/>
    </row>
    <row r="220" ht="15.75" customHeight="1">
      <c r="E220" s="3"/>
      <c r="F220" s="3"/>
      <c r="H220" s="3"/>
      <c r="I220" s="3"/>
      <c r="J220" s="3"/>
    </row>
    <row r="221" ht="15.75" customHeight="1">
      <c r="E221" s="3"/>
      <c r="F221" s="3"/>
      <c r="H221" s="3"/>
      <c r="I221" s="3"/>
      <c r="J221" s="3"/>
    </row>
    <row r="222" ht="15.75" customHeight="1">
      <c r="E222" s="3"/>
      <c r="F222" s="3"/>
      <c r="H222" s="3"/>
      <c r="I222" s="3"/>
      <c r="J222" s="3"/>
    </row>
    <row r="223" ht="15.75" customHeight="1">
      <c r="E223" s="3"/>
      <c r="F223" s="3"/>
      <c r="H223" s="3"/>
      <c r="I223" s="3"/>
      <c r="J223" s="3"/>
    </row>
    <row r="224" ht="15.75" customHeight="1">
      <c r="E224" s="3"/>
      <c r="F224" s="3"/>
      <c r="H224" s="3"/>
      <c r="I224" s="3"/>
      <c r="J224" s="3"/>
    </row>
    <row r="225" ht="15.75" customHeight="1">
      <c r="E225" s="3"/>
      <c r="F225" s="3"/>
      <c r="H225" s="3"/>
      <c r="I225" s="3"/>
      <c r="J225" s="3"/>
    </row>
    <row r="226" ht="15.75" customHeight="1">
      <c r="E226" s="3"/>
      <c r="F226" s="3"/>
      <c r="H226" s="3"/>
      <c r="I226" s="3"/>
      <c r="J226" s="3"/>
    </row>
    <row r="227" ht="15.75" customHeight="1">
      <c r="E227" s="3"/>
      <c r="F227" s="3"/>
      <c r="H227" s="3"/>
      <c r="I227" s="3"/>
      <c r="J227" s="3"/>
    </row>
    <row r="228" ht="15.75" customHeight="1">
      <c r="E228" s="3"/>
      <c r="F228" s="3"/>
      <c r="H228" s="3"/>
      <c r="I228" s="3"/>
      <c r="J228" s="3"/>
    </row>
    <row r="229" ht="15.75" customHeight="1">
      <c r="E229" s="3"/>
      <c r="F229" s="3"/>
      <c r="H229" s="3"/>
      <c r="I229" s="3"/>
      <c r="J229" s="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K3:K4"/>
    <mergeCell ref="R3:R4"/>
    <mergeCell ref="C4:D4"/>
    <mergeCell ref="F4:G4"/>
    <mergeCell ref="H4:J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10.71"/>
    <col customWidth="1" min="5" max="5" width="17.71"/>
    <col customWidth="1" min="6" max="6" width="13.29"/>
    <col customWidth="1" min="7" max="9" width="10.71"/>
    <col customWidth="1" hidden="1" min="10" max="10" width="12.29"/>
    <col customWidth="1" hidden="1" min="11" max="13" width="10.71"/>
    <col customWidth="1" min="14" max="14" width="10.71"/>
    <col customWidth="1" min="15" max="15" width="16.14"/>
    <col customWidth="1" min="16" max="19" width="10.71"/>
  </cols>
  <sheetData>
    <row r="3">
      <c r="A3" s="107" t="s">
        <v>98</v>
      </c>
      <c r="N3" s="108" t="s">
        <v>99</v>
      </c>
      <c r="R3" s="108" t="s">
        <v>99</v>
      </c>
    </row>
    <row r="4">
      <c r="N4" s="3" t="s">
        <v>100</v>
      </c>
      <c r="R4" s="3" t="s">
        <v>101</v>
      </c>
    </row>
    <row r="6">
      <c r="N6" s="3" t="s">
        <v>102</v>
      </c>
      <c r="R6" s="3" t="s">
        <v>102</v>
      </c>
    </row>
    <row r="7">
      <c r="A7" s="108" t="s">
        <v>103</v>
      </c>
      <c r="N7" s="3" t="s">
        <v>104</v>
      </c>
      <c r="O7" s="109" t="s">
        <v>105</v>
      </c>
      <c r="R7" s="3" t="s">
        <v>104</v>
      </c>
      <c r="S7" s="3" t="s">
        <v>106</v>
      </c>
    </row>
    <row r="8">
      <c r="A8" s="28" t="s">
        <v>107</v>
      </c>
      <c r="B8" s="28" t="s">
        <v>108</v>
      </c>
      <c r="C8" s="28" t="s">
        <v>109</v>
      </c>
      <c r="E8" s="110" t="s">
        <v>110</v>
      </c>
      <c r="N8" s="3" t="s">
        <v>111</v>
      </c>
      <c r="O8" s="3" t="s">
        <v>4</v>
      </c>
      <c r="R8" s="3" t="s">
        <v>111</v>
      </c>
      <c r="S8" s="3" t="s">
        <v>3</v>
      </c>
    </row>
    <row r="9">
      <c r="A9" s="36" t="s">
        <v>112</v>
      </c>
      <c r="B9" s="36">
        <v>2.0</v>
      </c>
      <c r="C9" s="36">
        <v>1.0</v>
      </c>
      <c r="N9" s="3" t="s">
        <v>109</v>
      </c>
      <c r="O9" s="3" t="s">
        <v>113</v>
      </c>
      <c r="R9" s="3" t="s">
        <v>109</v>
      </c>
      <c r="S9" s="3" t="s">
        <v>114</v>
      </c>
    </row>
    <row r="10">
      <c r="A10" s="36" t="s">
        <v>115</v>
      </c>
      <c r="B10" s="36">
        <v>1.0</v>
      </c>
      <c r="C10" s="36">
        <v>4.0</v>
      </c>
      <c r="F10" s="45" t="s">
        <v>116</v>
      </c>
      <c r="G10" s="45" t="s">
        <v>117</v>
      </c>
    </row>
    <row r="11">
      <c r="A11" s="36" t="s">
        <v>16</v>
      </c>
      <c r="B11" s="36">
        <v>2.0</v>
      </c>
      <c r="C11" s="36">
        <v>5.0</v>
      </c>
      <c r="F11" s="111" t="s">
        <v>118</v>
      </c>
      <c r="G11" s="111">
        <v>35.0</v>
      </c>
      <c r="N11" s="3" t="s">
        <v>119</v>
      </c>
      <c r="R11" s="3" t="s">
        <v>120</v>
      </c>
    </row>
    <row r="12">
      <c r="A12" s="36" t="s">
        <v>121</v>
      </c>
      <c r="B12" s="36">
        <v>4.0</v>
      </c>
      <c r="C12" s="36">
        <v>6.0</v>
      </c>
      <c r="F12" s="111" t="s">
        <v>122</v>
      </c>
      <c r="G12" s="111">
        <v>46.0</v>
      </c>
      <c r="N12" s="3" t="s">
        <v>123</v>
      </c>
      <c r="R12" s="3" t="s">
        <v>124</v>
      </c>
    </row>
    <row r="13">
      <c r="A13" s="36" t="s">
        <v>125</v>
      </c>
      <c r="B13" s="36">
        <v>9.0</v>
      </c>
      <c r="C13" s="36">
        <v>8.0</v>
      </c>
      <c r="F13" s="111" t="s">
        <v>126</v>
      </c>
      <c r="G13" s="111">
        <v>70.0</v>
      </c>
      <c r="N13" s="3" t="s">
        <v>127</v>
      </c>
      <c r="R13" s="3" t="s">
        <v>128</v>
      </c>
    </row>
    <row r="14">
      <c r="A14" s="36" t="s">
        <v>129</v>
      </c>
      <c r="B14" s="36">
        <v>12.0</v>
      </c>
      <c r="C14" s="36">
        <v>9.0</v>
      </c>
      <c r="F14" s="111" t="s">
        <v>130</v>
      </c>
      <c r="G14" s="111">
        <v>81.0</v>
      </c>
    </row>
    <row r="15">
      <c r="A15" s="36" t="s">
        <v>131</v>
      </c>
      <c r="B15" s="36">
        <v>30.0</v>
      </c>
      <c r="C15" s="36">
        <v>13.0</v>
      </c>
      <c r="F15" s="111" t="s">
        <v>132</v>
      </c>
      <c r="G15" s="111">
        <v>95.0</v>
      </c>
    </row>
    <row r="16">
      <c r="A16" s="36" t="s">
        <v>133</v>
      </c>
      <c r="B16" s="36">
        <v>24.0</v>
      </c>
      <c r="C16" s="36">
        <v>24.0</v>
      </c>
      <c r="F16" s="111" t="s">
        <v>134</v>
      </c>
      <c r="G16" s="111">
        <v>60.0</v>
      </c>
      <c r="N16" s="108" t="s">
        <v>99</v>
      </c>
    </row>
    <row r="17">
      <c r="A17" s="36" t="s">
        <v>135</v>
      </c>
      <c r="B17" s="36">
        <v>32.0</v>
      </c>
      <c r="C17" s="36">
        <v>45.0</v>
      </c>
      <c r="F17" s="111" t="s">
        <v>136</v>
      </c>
      <c r="G17" s="111">
        <v>14.0</v>
      </c>
      <c r="N17" s="3" t="s">
        <v>137</v>
      </c>
    </row>
    <row r="18">
      <c r="A18" s="36" t="s">
        <v>138</v>
      </c>
      <c r="B18" s="36">
        <v>40.0</v>
      </c>
      <c r="C18" s="36">
        <v>54.0</v>
      </c>
      <c r="G18" s="112"/>
    </row>
    <row r="19">
      <c r="A19" s="36" t="s">
        <v>139</v>
      </c>
      <c r="B19" s="36">
        <v>55.0</v>
      </c>
      <c r="C19" s="36">
        <v>73.0</v>
      </c>
      <c r="N19" s="3" t="s">
        <v>102</v>
      </c>
    </row>
    <row r="20">
      <c r="N20" s="3" t="s">
        <v>104</v>
      </c>
      <c r="O20" s="3" t="s">
        <v>140</v>
      </c>
    </row>
    <row r="21" ht="15.75" customHeight="1">
      <c r="N21" s="3" t="s">
        <v>111</v>
      </c>
      <c r="O21" s="3" t="s">
        <v>7</v>
      </c>
    </row>
    <row r="22" ht="15.75" customHeight="1">
      <c r="N22" s="3" t="s">
        <v>109</v>
      </c>
      <c r="O22" s="3" t="s">
        <v>113</v>
      </c>
    </row>
    <row r="23" ht="15.75" customHeight="1">
      <c r="A23" s="3" t="s">
        <v>141</v>
      </c>
      <c r="E23" s="3" t="s">
        <v>142</v>
      </c>
    </row>
    <row r="24" ht="15.75" customHeight="1">
      <c r="A24" s="36" t="s">
        <v>143</v>
      </c>
      <c r="B24" s="113">
        <v>70.0</v>
      </c>
      <c r="E24" s="114" t="s">
        <v>144</v>
      </c>
      <c r="F24" s="114" t="s">
        <v>145</v>
      </c>
      <c r="N24" s="3" t="s">
        <v>146</v>
      </c>
    </row>
    <row r="25" ht="15.75" customHeight="1">
      <c r="A25" s="36" t="s">
        <v>147</v>
      </c>
      <c r="B25" s="113">
        <v>90.0</v>
      </c>
      <c r="C25" s="3" t="s">
        <v>148</v>
      </c>
      <c r="E25" s="45" t="s">
        <v>149</v>
      </c>
      <c r="F25" s="45">
        <v>0.0</v>
      </c>
      <c r="N25" s="3" t="s">
        <v>150</v>
      </c>
    </row>
    <row r="26" ht="15.75" customHeight="1">
      <c r="A26" s="36" t="s">
        <v>151</v>
      </c>
      <c r="B26" s="113">
        <v>120.0</v>
      </c>
      <c r="E26" s="45" t="s">
        <v>152</v>
      </c>
      <c r="F26" s="45">
        <v>40.0</v>
      </c>
      <c r="N26" s="3" t="s">
        <v>153</v>
      </c>
    </row>
    <row r="27" ht="15.75" customHeight="1">
      <c r="A27" s="36" t="s">
        <v>154</v>
      </c>
      <c r="B27" s="113">
        <v>150.0</v>
      </c>
      <c r="E27" s="45" t="s">
        <v>155</v>
      </c>
      <c r="F27" s="45">
        <v>60.0</v>
      </c>
    </row>
    <row r="28" ht="15.75" customHeight="1">
      <c r="A28" s="3" t="s">
        <v>156</v>
      </c>
      <c r="E28" s="45" t="s">
        <v>157</v>
      </c>
      <c r="F28" s="45">
        <v>80.0</v>
      </c>
      <c r="N28" s="3" t="s">
        <v>158</v>
      </c>
    </row>
    <row r="29" ht="15.75" customHeight="1">
      <c r="E29" s="115" t="s">
        <v>159</v>
      </c>
      <c r="F29" s="115">
        <v>100.0</v>
      </c>
    </row>
    <row r="30" ht="15.75" customHeight="1">
      <c r="E30" s="115" t="s">
        <v>160</v>
      </c>
      <c r="F30" s="115">
        <v>150.0</v>
      </c>
    </row>
    <row r="31" ht="15.75" customHeight="1">
      <c r="A31" s="3" t="s">
        <v>161</v>
      </c>
      <c r="O31" s="36"/>
    </row>
    <row r="32" ht="15.75" customHeight="1">
      <c r="A32" s="3" t="s">
        <v>162</v>
      </c>
      <c r="O32" s="36"/>
    </row>
    <row r="33" ht="15.75" customHeight="1">
      <c r="O33" s="36"/>
    </row>
    <row r="34" ht="15.75" customHeight="1">
      <c r="O34" s="36"/>
    </row>
    <row r="35" ht="15.75" customHeight="1">
      <c r="O35" s="3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8:I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16" t="s">
        <v>163</v>
      </c>
      <c r="P4" s="116"/>
      <c r="Q4" s="3"/>
      <c r="R4" s="3"/>
      <c r="S4" s="3"/>
    </row>
    <row r="5">
      <c r="A5" s="3"/>
      <c r="B5" s="3"/>
      <c r="C5" s="3"/>
      <c r="D5" s="3" t="s">
        <v>164</v>
      </c>
      <c r="E5" s="3"/>
      <c r="F5" s="3"/>
      <c r="G5" s="3"/>
      <c r="H5" s="3"/>
      <c r="I5" s="3"/>
      <c r="J5" s="3"/>
      <c r="K5" s="3"/>
      <c r="L5" s="3"/>
      <c r="M5" s="3"/>
      <c r="N5" s="3"/>
      <c r="O5" s="3">
        <v>230.0</v>
      </c>
      <c r="P5" s="3"/>
      <c r="Q5" s="3"/>
      <c r="R5" s="3"/>
      <c r="S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3"/>
      <c r="B7" s="117"/>
      <c r="C7" s="117" t="s">
        <v>165</v>
      </c>
      <c r="D7" s="117" t="s">
        <v>166</v>
      </c>
      <c r="E7" s="117" t="s">
        <v>167</v>
      </c>
      <c r="F7" s="117" t="s">
        <v>168</v>
      </c>
      <c r="G7" s="117" t="s">
        <v>169</v>
      </c>
      <c r="H7" s="117" t="s">
        <v>170</v>
      </c>
      <c r="I7" s="117" t="s">
        <v>171</v>
      </c>
      <c r="J7" s="117" t="s">
        <v>172</v>
      </c>
      <c r="K7" s="117" t="s">
        <v>173</v>
      </c>
      <c r="L7" s="32"/>
      <c r="M7" s="3"/>
      <c r="N7" s="3"/>
      <c r="O7" s="3"/>
      <c r="P7" s="3"/>
      <c r="Q7" s="3"/>
      <c r="R7" s="3"/>
      <c r="S7" s="3"/>
    </row>
    <row r="8">
      <c r="A8" s="3"/>
      <c r="B8" s="118">
        <v>100.0</v>
      </c>
      <c r="C8" s="119">
        <f>(P23+Y33)*C25</f>
        <v>227147.8524</v>
      </c>
      <c r="D8" s="119">
        <f>(P23+Y33)*D25</f>
        <v>227147.8524</v>
      </c>
      <c r="E8" s="119">
        <f>(P23+X33)*E25</f>
        <v>227031.0396</v>
      </c>
      <c r="F8" s="119">
        <f>(P24+X33)*F25</f>
        <v>406389.0318</v>
      </c>
      <c r="G8" s="119">
        <f>(P24+W34)*G25</f>
        <v>609158.7738</v>
      </c>
      <c r="H8" s="119">
        <f>(P24+V34)*H25</f>
        <v>811916.7166</v>
      </c>
      <c r="I8" s="119">
        <f>(P24+V34)*I25</f>
        <v>1014895.896</v>
      </c>
      <c r="J8" s="119">
        <f>(P24+U34)*J25</f>
        <v>1420424.072</v>
      </c>
      <c r="K8" s="119">
        <f>(P24+U34)*K25</f>
        <v>1826259.521</v>
      </c>
      <c r="L8" s="32"/>
      <c r="M8" s="3"/>
      <c r="N8" s="3"/>
      <c r="O8" s="120" t="s">
        <v>174</v>
      </c>
      <c r="P8" s="121" t="s">
        <v>175</v>
      </c>
      <c r="Q8" s="3"/>
      <c r="R8" s="3"/>
      <c r="S8" s="3"/>
    </row>
    <row r="9">
      <c r="A9" s="3"/>
      <c r="B9" s="118">
        <v>200.0</v>
      </c>
      <c r="C9" s="119">
        <f>(P23+Y33)*C26</f>
        <v>227147.8524</v>
      </c>
      <c r="D9" s="119">
        <f>(P23+Y33)*D26</f>
        <v>227147.8524</v>
      </c>
      <c r="E9" s="119">
        <f>(P24+X33)*E26</f>
        <v>406389.0318</v>
      </c>
      <c r="F9" s="119">
        <f>(P24+X34)*F26</f>
        <v>609424.2574</v>
      </c>
      <c r="G9" s="119">
        <f>(P24+W34)*G26</f>
        <v>1015264.623</v>
      </c>
      <c r="H9" s="119">
        <f>(P24+V34)*H26</f>
        <v>1623833.433</v>
      </c>
      <c r="I9" s="119">
        <f>(P24+V34)*I26</f>
        <v>1826812.612</v>
      </c>
      <c r="J9" s="119">
        <f>(P24+U35)*J26</f>
        <v>2840457.07</v>
      </c>
      <c r="K9" s="119">
        <f>(P24+U35)*K26</f>
        <v>3449126.442</v>
      </c>
      <c r="L9" s="32"/>
      <c r="M9" s="3"/>
      <c r="N9" s="3"/>
      <c r="O9" s="32">
        <v>0.147</v>
      </c>
      <c r="P9" s="32">
        <v>0.21175</v>
      </c>
      <c r="Q9" s="3"/>
      <c r="R9" s="3"/>
      <c r="S9" s="3"/>
    </row>
    <row r="10">
      <c r="A10" s="3"/>
      <c r="B10" s="118">
        <v>300.0</v>
      </c>
      <c r="C10" s="119">
        <f>(P23+Y33)*C27</f>
        <v>227147.8524</v>
      </c>
      <c r="D10" s="119">
        <f>(P24+Y33)*D27</f>
        <v>406622.6574</v>
      </c>
      <c r="E10" s="119">
        <f>(P24+X34)*E27</f>
        <v>609424.2574</v>
      </c>
      <c r="F10" s="119">
        <f>(P24+X34)*F27</f>
        <v>1015707.096</v>
      </c>
      <c r="G10" s="119">
        <f>(P24+W34)*G27</f>
        <v>1624423.397</v>
      </c>
      <c r="H10" s="119">
        <f>(P24+V35)*H27</f>
        <v>2232402.243</v>
      </c>
      <c r="I10" s="119">
        <f>(P24+V35)*I27</f>
        <v>2638293.56</v>
      </c>
      <c r="J10" s="119">
        <f t="shared" ref="J10:J12" si="1">(P24+U35)*J27</f>
        <v>4057795.814</v>
      </c>
      <c r="K10" s="119">
        <f>(P25+U35)*K27</f>
        <v>4923266.495</v>
      </c>
      <c r="L10" s="32"/>
      <c r="M10" s="3"/>
      <c r="N10" s="3"/>
      <c r="O10" s="3"/>
      <c r="P10" s="3"/>
      <c r="Q10" s="3"/>
      <c r="R10" s="3"/>
      <c r="S10" s="3"/>
    </row>
    <row r="11">
      <c r="A11" s="3"/>
      <c r="B11" s="118">
        <v>500.0</v>
      </c>
      <c r="C11" s="119">
        <f>(P23+Y33)*C28</f>
        <v>227147.8524</v>
      </c>
      <c r="D11" s="119">
        <f>(P24+Y34)*D28</f>
        <v>406495.2252</v>
      </c>
      <c r="E11" s="119">
        <f>(P24+X34)*E28</f>
        <v>812565.6766</v>
      </c>
      <c r="F11" s="119">
        <f>(P24+X34)*F28</f>
        <v>1625131.353</v>
      </c>
      <c r="G11" s="119">
        <f>(P24+W35)*G28</f>
        <v>2639165.098</v>
      </c>
      <c r="H11" s="119">
        <f t="shared" ref="H11:H12" si="2">(P24+V35)*H28</f>
        <v>3653021.853</v>
      </c>
      <c r="I11" s="119">
        <f t="shared" ref="I11:I12" si="3">(P24+V35)*I28</f>
        <v>4261858.828</v>
      </c>
      <c r="J11" s="119">
        <f t="shared" si="1"/>
        <v>6694779.022</v>
      </c>
      <c r="K11" s="119">
        <f t="shared" ref="K11:K12" si="4">(P25+U36)*K28</f>
        <v>8270021.144</v>
      </c>
      <c r="L11" s="32"/>
      <c r="M11" s="3"/>
      <c r="N11" s="3"/>
      <c r="O11" s="20"/>
      <c r="P11" s="3"/>
      <c r="Q11" s="3"/>
      <c r="R11" s="3"/>
      <c r="S11" s="3"/>
    </row>
    <row r="12">
      <c r="A12" s="3"/>
      <c r="B12" s="118">
        <v>1000.0</v>
      </c>
      <c r="C12" s="119">
        <f>(P23+Y33)*C29</f>
        <v>227147.8524</v>
      </c>
      <c r="D12" s="119">
        <f>(P24+Y34)*D29</f>
        <v>812990.4504</v>
      </c>
      <c r="E12" s="119">
        <f>(P24+X34)*E29</f>
        <v>1625131.353</v>
      </c>
      <c r="F12" s="119">
        <f>(P24+X35)*F29</f>
        <v>3046397.241</v>
      </c>
      <c r="G12" s="119">
        <f>(P24+W35)*G29</f>
        <v>5075317.495</v>
      </c>
      <c r="H12" s="119">
        <f t="shared" si="2"/>
        <v>7090417.952</v>
      </c>
      <c r="I12" s="119">
        <f t="shared" si="3"/>
        <v>8272154.277</v>
      </c>
      <c r="J12" s="119">
        <f t="shared" si="1"/>
        <v>12791844.25</v>
      </c>
      <c r="K12" s="119">
        <f t="shared" si="4"/>
        <v>16037536.08</v>
      </c>
      <c r="L12" s="32"/>
      <c r="M12" s="3"/>
      <c r="N12" s="3"/>
      <c r="O12" s="3"/>
      <c r="P12" s="3"/>
      <c r="Q12" s="3"/>
      <c r="R12" s="3"/>
      <c r="S12" s="3"/>
    </row>
    <row r="13">
      <c r="A13" s="3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122"/>
      <c r="N13" s="123"/>
      <c r="O13" s="123"/>
      <c r="P13" s="123"/>
      <c r="Q13" s="123"/>
      <c r="R13" s="123"/>
      <c r="S13" s="3"/>
    </row>
    <row r="14">
      <c r="A14" s="3"/>
      <c r="B14" s="32"/>
      <c r="C14" s="32" t="s">
        <v>176</v>
      </c>
      <c r="D14" s="32"/>
      <c r="E14" s="32"/>
      <c r="F14" s="32"/>
      <c r="G14" s="32"/>
      <c r="H14" s="32"/>
      <c r="I14" s="32"/>
      <c r="J14" s="32"/>
      <c r="K14" s="32"/>
      <c r="L14" s="3"/>
      <c r="M14" s="123"/>
      <c r="N14" s="123"/>
      <c r="O14" s="123"/>
      <c r="P14" s="123"/>
      <c r="Q14" s="123"/>
      <c r="R14" s="123"/>
      <c r="S14" s="123"/>
    </row>
    <row r="15">
      <c r="A15" s="3"/>
      <c r="B15" s="117"/>
      <c r="C15" s="117" t="s">
        <v>165</v>
      </c>
      <c r="D15" s="117" t="s">
        <v>166</v>
      </c>
      <c r="E15" s="117" t="s">
        <v>167</v>
      </c>
      <c r="F15" s="117" t="s">
        <v>168</v>
      </c>
      <c r="G15" s="117" t="s">
        <v>169</v>
      </c>
      <c r="H15" s="117" t="s">
        <v>170</v>
      </c>
      <c r="I15" s="117" t="s">
        <v>171</v>
      </c>
      <c r="J15" s="117" t="s">
        <v>172</v>
      </c>
      <c r="K15" s="117" t="s">
        <v>173</v>
      </c>
      <c r="L15" s="3"/>
      <c r="M15" s="123"/>
      <c r="N15" s="123"/>
      <c r="O15" s="123"/>
      <c r="P15" s="123"/>
      <c r="Q15" s="123"/>
      <c r="R15" s="123"/>
      <c r="S15" s="123"/>
    </row>
    <row r="16">
      <c r="A16" s="3"/>
      <c r="B16" s="118">
        <v>100.0</v>
      </c>
      <c r="C16" s="119">
        <f t="shared" ref="C16:C20" si="5">C8*S23</f>
        <v>227408.0051</v>
      </c>
      <c r="D16" s="119">
        <f t="shared" ref="D16:D20" si="6">D8*S23</f>
        <v>227408.0051</v>
      </c>
      <c r="E16" s="119">
        <f t="shared" ref="E16:E20" si="7">E8*S23</f>
        <v>227291.0586</v>
      </c>
      <c r="F16" s="119">
        <f t="shared" ref="F16:F20" si="8">F8*S23</f>
        <v>406854.4696</v>
      </c>
      <c r="G16" s="119">
        <f t="shared" ref="G16:G20" si="9">G8*S23</f>
        <v>609856.4441</v>
      </c>
      <c r="H16" s="119">
        <f t="shared" ref="H16:H20" si="10">H8*S23</f>
        <v>812846.6058</v>
      </c>
      <c r="I16" s="119">
        <f t="shared" ref="I16:I20" si="11">I8*S23</f>
        <v>1016058.257</v>
      </c>
      <c r="J16" s="119">
        <f t="shared" ref="J16:J20" si="12">J8*S23</f>
        <v>1422050.886</v>
      </c>
      <c r="K16" s="119">
        <f t="shared" ref="K16:K20" si="13">K8*S23</f>
        <v>1828351.139</v>
      </c>
      <c r="L16" s="3"/>
      <c r="M16" s="123"/>
      <c r="N16" s="123"/>
      <c r="O16" s="123"/>
      <c r="P16" s="123"/>
      <c r="Q16" s="123"/>
      <c r="R16" s="123"/>
      <c r="S16" s="123"/>
    </row>
    <row r="17">
      <c r="A17" s="3"/>
      <c r="B17" s="118">
        <v>200.0</v>
      </c>
      <c r="C17" s="119">
        <f t="shared" si="5"/>
        <v>227408.0051</v>
      </c>
      <c r="D17" s="119">
        <f t="shared" si="6"/>
        <v>227408.0051</v>
      </c>
      <c r="E17" s="119">
        <f t="shared" si="7"/>
        <v>406854.4696</v>
      </c>
      <c r="F17" s="119">
        <f t="shared" si="8"/>
        <v>610122.2318</v>
      </c>
      <c r="G17" s="119">
        <f t="shared" si="9"/>
        <v>1016427.407</v>
      </c>
      <c r="H17" s="119">
        <f t="shared" si="10"/>
        <v>1625693.212</v>
      </c>
      <c r="I17" s="119">
        <f t="shared" si="11"/>
        <v>1828904.863</v>
      </c>
      <c r="J17" s="119">
        <f t="shared" si="12"/>
        <v>2843710.249</v>
      </c>
      <c r="K17" s="119">
        <f t="shared" si="13"/>
        <v>3453076.731</v>
      </c>
      <c r="L17" s="3"/>
      <c r="M17" s="123"/>
      <c r="N17" s="123"/>
      <c r="O17" s="123"/>
      <c r="P17" s="123"/>
      <c r="Q17" s="123"/>
      <c r="R17" s="123"/>
      <c r="S17" s="123"/>
    </row>
    <row r="18">
      <c r="A18" s="3"/>
      <c r="B18" s="118">
        <v>300.0</v>
      </c>
      <c r="C18" s="119">
        <f t="shared" si="5"/>
        <v>227408.0051</v>
      </c>
      <c r="D18" s="119">
        <f t="shared" si="6"/>
        <v>407088.3628</v>
      </c>
      <c r="E18" s="119">
        <f t="shared" si="7"/>
        <v>610122.2318</v>
      </c>
      <c r="F18" s="119">
        <f t="shared" si="8"/>
        <v>1016870.386</v>
      </c>
      <c r="G18" s="119">
        <f t="shared" si="9"/>
        <v>1626283.851</v>
      </c>
      <c r="H18" s="119">
        <f t="shared" si="10"/>
        <v>2234959.016</v>
      </c>
      <c r="I18" s="119">
        <f t="shared" si="11"/>
        <v>2641315.201</v>
      </c>
      <c r="J18" s="119">
        <f t="shared" si="12"/>
        <v>4062443.213</v>
      </c>
      <c r="K18" s="119">
        <f t="shared" si="13"/>
        <v>4928905.118</v>
      </c>
      <c r="L18" s="3"/>
      <c r="M18" s="123"/>
      <c r="N18" s="123"/>
      <c r="O18" s="123"/>
      <c r="P18" s="123"/>
      <c r="Q18" s="123"/>
      <c r="R18" s="123"/>
      <c r="S18" s="123"/>
    </row>
    <row r="19">
      <c r="A19" s="3"/>
      <c r="B19" s="118">
        <v>500.0</v>
      </c>
      <c r="C19" s="119">
        <f t="shared" si="5"/>
        <v>227408.0051</v>
      </c>
      <c r="D19" s="119">
        <f t="shared" si="6"/>
        <v>406960.7847</v>
      </c>
      <c r="E19" s="119">
        <f t="shared" si="7"/>
        <v>813496.3091</v>
      </c>
      <c r="F19" s="119">
        <f t="shared" si="8"/>
        <v>1626992.618</v>
      </c>
      <c r="G19" s="119">
        <f t="shared" si="9"/>
        <v>2642187.737</v>
      </c>
      <c r="H19" s="119">
        <f t="shared" si="10"/>
        <v>3657205.663</v>
      </c>
      <c r="I19" s="119">
        <f t="shared" si="11"/>
        <v>4266739.94</v>
      </c>
      <c r="J19" s="119">
        <f t="shared" si="12"/>
        <v>6702446.56</v>
      </c>
      <c r="K19" s="119">
        <f t="shared" si="13"/>
        <v>8279492.81</v>
      </c>
      <c r="L19" s="3"/>
      <c r="M19" s="123"/>
      <c r="N19" s="123"/>
      <c r="O19" s="123"/>
      <c r="P19" s="123"/>
      <c r="Q19" s="123"/>
      <c r="R19" s="123"/>
      <c r="S19" s="123"/>
    </row>
    <row r="20">
      <c r="A20" s="3"/>
      <c r="B20" s="118">
        <v>1000.0</v>
      </c>
      <c r="C20" s="119">
        <f t="shared" si="5"/>
        <v>227408.0051</v>
      </c>
      <c r="D20" s="119">
        <f t="shared" si="6"/>
        <v>813921.5694</v>
      </c>
      <c r="E20" s="119">
        <f t="shared" si="7"/>
        <v>1626992.618</v>
      </c>
      <c r="F20" s="119">
        <f t="shared" si="8"/>
        <v>3049886.283</v>
      </c>
      <c r="G20" s="119">
        <f t="shared" si="9"/>
        <v>5081130.263</v>
      </c>
      <c r="H20" s="119">
        <f t="shared" si="10"/>
        <v>7098538.616</v>
      </c>
      <c r="I20" s="119">
        <f t="shared" si="11"/>
        <v>8281628.386</v>
      </c>
      <c r="J20" s="119">
        <f t="shared" si="12"/>
        <v>12806494.77</v>
      </c>
      <c r="K20" s="119">
        <f t="shared" si="13"/>
        <v>16055903.89</v>
      </c>
      <c r="L20" s="3"/>
      <c r="M20" s="3"/>
      <c r="N20" s="123"/>
      <c r="O20" s="123"/>
      <c r="P20" s="123"/>
      <c r="Q20" s="123"/>
      <c r="R20" s="123"/>
      <c r="S20" s="123"/>
    </row>
    <row r="21" ht="15.75" customHeight="1">
      <c r="A21" s="3"/>
      <c r="B21" s="32"/>
      <c r="C21" s="124"/>
      <c r="D21" s="124"/>
      <c r="E21" s="124"/>
      <c r="F21" s="124"/>
      <c r="G21" s="124"/>
      <c r="H21" s="124"/>
      <c r="I21" s="124"/>
      <c r="J21" s="124"/>
      <c r="K21" s="124"/>
      <c r="L21" s="32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2"/>
      <c r="C22" s="124"/>
      <c r="D22" s="124"/>
      <c r="E22" s="124"/>
      <c r="F22" s="124"/>
      <c r="G22" s="124"/>
      <c r="H22" s="124"/>
      <c r="I22" s="124"/>
      <c r="J22" s="124"/>
      <c r="K22" s="124"/>
      <c r="L22" s="3"/>
      <c r="M22" s="125"/>
      <c r="N22" s="41"/>
      <c r="O22" s="120" t="s">
        <v>174</v>
      </c>
      <c r="P22" s="121" t="s">
        <v>10</v>
      </c>
      <c r="Q22" s="126" t="s">
        <v>177</v>
      </c>
      <c r="R22" s="127" t="s">
        <v>178</v>
      </c>
    </row>
    <row r="23" ht="15.75" customHeight="1">
      <c r="A23" s="3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"/>
      <c r="M23" s="125"/>
      <c r="N23" s="128">
        <v>1.0</v>
      </c>
      <c r="O23" s="129">
        <v>1.0</v>
      </c>
      <c r="P23" s="130">
        <f>Bajadas!E4</f>
        <v>226446.9756</v>
      </c>
      <c r="Q23" s="130">
        <f>Bajadas!F4</f>
        <v>226706.3256</v>
      </c>
      <c r="R23" s="129">
        <f>Bajadas!AH48</f>
        <v>1.9</v>
      </c>
      <c r="S23" s="131">
        <f t="shared" ref="S23:S30" si="14">Q23/P23</f>
        <v>1.001145301</v>
      </c>
    </row>
    <row r="24" ht="15.75" customHeight="1">
      <c r="A24" s="3"/>
      <c r="B24" s="32"/>
      <c r="C24" s="122" t="s">
        <v>165</v>
      </c>
      <c r="D24" s="122" t="s">
        <v>166</v>
      </c>
      <c r="E24" s="122" t="s">
        <v>167</v>
      </c>
      <c r="F24" s="122" t="s">
        <v>168</v>
      </c>
      <c r="G24" s="122" t="s">
        <v>169</v>
      </c>
      <c r="H24" s="122" t="s">
        <v>170</v>
      </c>
      <c r="I24" s="122" t="s">
        <v>171</v>
      </c>
      <c r="J24" s="122" t="s">
        <v>172</v>
      </c>
      <c r="K24" s="122" t="s">
        <v>173</v>
      </c>
      <c r="L24" s="3"/>
      <c r="M24" s="125"/>
      <c r="N24" s="21" t="s">
        <v>179</v>
      </c>
      <c r="O24" s="129">
        <v>1.0</v>
      </c>
      <c r="P24" s="130">
        <f>Bajadas!E5</f>
        <v>202610.4519</v>
      </c>
      <c r="Q24" s="130">
        <f>Bajadas!F5</f>
        <v>202842.5019</v>
      </c>
      <c r="R24" s="129">
        <f>Bajadas!AH49</f>
        <v>1.7</v>
      </c>
      <c r="S24" s="131">
        <f t="shared" si="14"/>
        <v>1.001145301</v>
      </c>
    </row>
    <row r="25" ht="15.75" customHeight="1">
      <c r="A25" s="3"/>
      <c r="B25" s="132">
        <v>100.0</v>
      </c>
      <c r="C25" s="133">
        <v>1.0</v>
      </c>
      <c r="D25" s="133">
        <v>1.0</v>
      </c>
      <c r="E25" s="133">
        <v>1.0</v>
      </c>
      <c r="F25" s="133">
        <v>2.0</v>
      </c>
      <c r="G25" s="133">
        <v>3.0</v>
      </c>
      <c r="H25" s="133">
        <v>4.0</v>
      </c>
      <c r="I25" s="133">
        <v>5.0</v>
      </c>
      <c r="J25" s="133">
        <v>7.0</v>
      </c>
      <c r="K25" s="133">
        <v>9.0</v>
      </c>
      <c r="L25" s="3"/>
      <c r="M25" s="125"/>
      <c r="N25" s="21" t="s">
        <v>180</v>
      </c>
      <c r="O25" s="129">
        <v>1.0</v>
      </c>
      <c r="P25" s="130">
        <f>Bajadas!E6</f>
        <v>196651.3209</v>
      </c>
      <c r="Q25" s="130">
        <f>Bajadas!F6</f>
        <v>196876.5459</v>
      </c>
      <c r="R25" s="129">
        <f>Bajadas!AH50</f>
        <v>1.65</v>
      </c>
      <c r="S25" s="131">
        <f t="shared" si="14"/>
        <v>1.001145301</v>
      </c>
    </row>
    <row r="26" ht="15.75" customHeight="1">
      <c r="A26" s="3"/>
      <c r="B26" s="132">
        <v>200.0</v>
      </c>
      <c r="C26" s="133">
        <v>1.0</v>
      </c>
      <c r="D26" s="133">
        <v>1.0</v>
      </c>
      <c r="E26" s="133">
        <v>2.0</v>
      </c>
      <c r="F26" s="133">
        <v>3.0</v>
      </c>
      <c r="G26" s="133">
        <v>5.0</v>
      </c>
      <c r="H26" s="133">
        <v>8.0</v>
      </c>
      <c r="I26" s="133">
        <v>9.0</v>
      </c>
      <c r="J26" s="133">
        <v>14.0</v>
      </c>
      <c r="K26" s="133">
        <v>17.0</v>
      </c>
      <c r="L26" s="3"/>
      <c r="M26" s="125"/>
      <c r="N26" s="21" t="s">
        <v>181</v>
      </c>
      <c r="O26" s="129">
        <v>1.0</v>
      </c>
      <c r="P26" s="130">
        <f>Bajadas!E7</f>
        <v>190692.19</v>
      </c>
      <c r="Q26" s="130">
        <f>Bajadas!F7</f>
        <v>190910.59</v>
      </c>
      <c r="R26" s="129">
        <f>Bajadas!AH51</f>
        <v>1.6</v>
      </c>
      <c r="S26" s="131">
        <f t="shared" si="14"/>
        <v>1.001145301</v>
      </c>
    </row>
    <row r="27" ht="15.75" customHeight="1">
      <c r="A27" s="3"/>
      <c r="B27" s="132">
        <v>300.0</v>
      </c>
      <c r="C27" s="133">
        <v>1.0</v>
      </c>
      <c r="D27" s="133">
        <v>2.0</v>
      </c>
      <c r="E27" s="133">
        <v>3.0</v>
      </c>
      <c r="F27" s="133">
        <v>5.0</v>
      </c>
      <c r="G27" s="133">
        <v>8.0</v>
      </c>
      <c r="H27" s="133">
        <v>11.0</v>
      </c>
      <c r="I27" s="133">
        <v>13.0</v>
      </c>
      <c r="J27" s="133">
        <v>20.0</v>
      </c>
      <c r="K27" s="133">
        <v>25.0</v>
      </c>
      <c r="L27" s="3"/>
      <c r="M27" s="125"/>
      <c r="N27" s="21" t="s">
        <v>182</v>
      </c>
      <c r="O27" s="129">
        <v>1.0</v>
      </c>
      <c r="P27" s="130">
        <f>Bajadas!E8</f>
        <v>184733.0591</v>
      </c>
      <c r="Q27" s="130">
        <f>Bajadas!F8</f>
        <v>184944.6341</v>
      </c>
      <c r="R27" s="129">
        <f>Bajadas!AH52</f>
        <v>1.55</v>
      </c>
      <c r="S27" s="131">
        <f t="shared" si="14"/>
        <v>1.001145301</v>
      </c>
    </row>
    <row r="28" ht="15.75" customHeight="1">
      <c r="A28" s="3"/>
      <c r="B28" s="132">
        <v>500.0</v>
      </c>
      <c r="C28" s="133">
        <v>1.0</v>
      </c>
      <c r="D28" s="133">
        <v>2.0</v>
      </c>
      <c r="E28" s="133">
        <v>4.0</v>
      </c>
      <c r="F28" s="133">
        <v>8.0</v>
      </c>
      <c r="G28" s="133">
        <v>13.0</v>
      </c>
      <c r="H28" s="133">
        <v>18.0</v>
      </c>
      <c r="I28" s="133">
        <v>21.0</v>
      </c>
      <c r="J28" s="133">
        <v>34.0</v>
      </c>
      <c r="K28" s="133">
        <v>42.0</v>
      </c>
      <c r="L28" s="3"/>
      <c r="M28" s="134"/>
      <c r="N28" s="21" t="s">
        <v>18</v>
      </c>
      <c r="O28" s="129">
        <v>1.0</v>
      </c>
      <c r="P28" s="130">
        <f>Bajadas!E9</f>
        <v>178773.9281</v>
      </c>
      <c r="Q28" s="130">
        <f>Bajadas!F9</f>
        <v>178978.6781</v>
      </c>
      <c r="R28" s="129">
        <f>Bajadas!AH53</f>
        <v>1.5</v>
      </c>
      <c r="S28" s="131">
        <f t="shared" si="14"/>
        <v>1.001145301</v>
      </c>
    </row>
    <row r="29" ht="15.75" customHeight="1">
      <c r="A29" s="3"/>
      <c r="B29" s="132">
        <v>1000.0</v>
      </c>
      <c r="C29" s="133">
        <v>1.0</v>
      </c>
      <c r="D29" s="133">
        <v>4.0</v>
      </c>
      <c r="E29" s="133">
        <v>8.0</v>
      </c>
      <c r="F29" s="133">
        <v>15.0</v>
      </c>
      <c r="G29" s="133">
        <v>25.0</v>
      </c>
      <c r="H29" s="133">
        <v>36.0</v>
      </c>
      <c r="I29" s="133">
        <v>42.0</v>
      </c>
      <c r="J29" s="133">
        <v>67.0</v>
      </c>
      <c r="K29" s="133">
        <v>84.0</v>
      </c>
      <c r="L29" s="3"/>
      <c r="M29" s="135"/>
      <c r="N29" s="136" t="s">
        <v>19</v>
      </c>
      <c r="O29" s="129">
        <v>1.0</v>
      </c>
      <c r="P29" s="130">
        <f>Bajadas!E10</f>
        <v>172814.7972</v>
      </c>
      <c r="Q29" s="130">
        <f>Bajadas!F10</f>
        <v>173012.7222</v>
      </c>
      <c r="R29" s="129">
        <f>Bajadas!AH54</f>
        <v>1.45</v>
      </c>
      <c r="S29" s="131">
        <f t="shared" si="14"/>
        <v>1.001145301</v>
      </c>
    </row>
    <row r="30" ht="15.75" customHeight="1">
      <c r="A30" s="3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"/>
      <c r="M30" s="135"/>
      <c r="N30" s="136">
        <v>1000.0</v>
      </c>
      <c r="O30" s="129">
        <v>1.0</v>
      </c>
      <c r="P30" s="130">
        <f>Bajadas!E11</f>
        <v>166855.6663</v>
      </c>
      <c r="Q30" s="130">
        <f>Bajadas!F11</f>
        <v>167046.7663</v>
      </c>
      <c r="R30" s="129">
        <f>Bajadas!AH55</f>
        <v>1.4</v>
      </c>
      <c r="S30" s="131">
        <f t="shared" si="14"/>
        <v>1.001145301</v>
      </c>
    </row>
    <row r="31" ht="15.75" customHeight="1">
      <c r="A31" s="3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"/>
      <c r="M32" s="3"/>
      <c r="N32" s="3"/>
      <c r="O32" s="137" t="s">
        <v>183</v>
      </c>
      <c r="P32" s="137" t="s">
        <v>184</v>
      </c>
      <c r="Q32" s="3"/>
      <c r="T32" s="84" t="str">
        <f>troquelados!W44</f>
        <v/>
      </c>
      <c r="U32" s="84" t="str">
        <f>troquelados!X44</f>
        <v>SIMPLE</v>
      </c>
      <c r="V32" s="84" t="str">
        <f>troquelados!Y44</f>
        <v>MEDIO</v>
      </c>
      <c r="W32" s="84" t="str">
        <f>troquelados!Z44</f>
        <v>COMPLEJO</v>
      </c>
      <c r="X32" s="84" t="str">
        <f>troquelados!AA44</f>
        <v>MUY COMPLEJO</v>
      </c>
      <c r="Y32" s="84" t="str">
        <f>troquelados!AB44</f>
        <v>ULTRA COMPLEJO</v>
      </c>
    </row>
    <row r="33" ht="15.75" customHeight="1">
      <c r="A33" s="3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3"/>
      <c r="M33" s="3"/>
      <c r="N33" s="132" t="s">
        <v>185</v>
      </c>
      <c r="O33" s="138">
        <f>Laminado!C7</f>
        <v>163.5152453</v>
      </c>
      <c r="P33" s="139">
        <f t="shared" ref="P33:P38" si="15">O33*2</f>
        <v>327.0304907</v>
      </c>
      <c r="Q33" s="3"/>
      <c r="T33" s="84" t="str">
        <f>troquelados!W45</f>
        <v>1 a 2</v>
      </c>
      <c r="U33" s="84">
        <f>troquelados!X45</f>
        <v>338</v>
      </c>
      <c r="V33" s="84">
        <f>troquelados!Y45</f>
        <v>405.6</v>
      </c>
      <c r="W33" s="84">
        <f>troquelados!Z45</f>
        <v>486.72</v>
      </c>
      <c r="X33" s="84">
        <f>troquelados!AA45</f>
        <v>584.064</v>
      </c>
      <c r="Y33" s="84">
        <f>troquelados!AB45</f>
        <v>700.8768</v>
      </c>
    </row>
    <row r="34" ht="15.75" customHeight="1">
      <c r="A34" s="3"/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3"/>
      <c r="M34" s="3"/>
      <c r="N34" s="132" t="s">
        <v>186</v>
      </c>
      <c r="O34" s="138">
        <f>Laminado!C8</f>
        <v>151.2516019</v>
      </c>
      <c r="P34" s="139">
        <f t="shared" si="15"/>
        <v>302.5032039</v>
      </c>
      <c r="Q34" s="3"/>
      <c r="T34" s="84" t="str">
        <f>troquelados!W46</f>
        <v>3 a 9</v>
      </c>
      <c r="U34" s="84">
        <f>troquelados!X46</f>
        <v>307.2727273</v>
      </c>
      <c r="V34" s="84">
        <f>troquelados!Y46</f>
        <v>368.7272727</v>
      </c>
      <c r="W34" s="84">
        <f>troquelados!Z46</f>
        <v>442.4727273</v>
      </c>
      <c r="X34" s="84">
        <f>troquelados!AA46</f>
        <v>530.9672727</v>
      </c>
      <c r="Y34" s="84">
        <f>troquelados!AB46</f>
        <v>637.1607273</v>
      </c>
    </row>
    <row r="35" ht="15.75" customHeight="1">
      <c r="A35" s="3"/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3"/>
      <c r="M35" s="3"/>
      <c r="N35" s="132" t="s">
        <v>181</v>
      </c>
      <c r="O35" s="138">
        <f>Laminado!C9</f>
        <v>138.9879585</v>
      </c>
      <c r="P35" s="139">
        <f t="shared" si="15"/>
        <v>277.9759171</v>
      </c>
      <c r="Q35" s="3"/>
      <c r="T35" s="84" t="str">
        <f>troquelados!W47</f>
        <v>10 a 25</v>
      </c>
      <c r="U35" s="84">
        <f>troquelados!X47</f>
        <v>279.338843</v>
      </c>
      <c r="V35" s="84">
        <f>troquelados!Y47</f>
        <v>335.2066116</v>
      </c>
      <c r="W35" s="84">
        <f>troquelados!Z47</f>
        <v>402.2479339</v>
      </c>
      <c r="X35" s="84">
        <f>troquelados!AA47</f>
        <v>482.6975207</v>
      </c>
      <c r="Y35" s="84">
        <f>troquelados!AB47</f>
        <v>579.2370248</v>
      </c>
    </row>
    <row r="36" ht="15.75" customHeight="1">
      <c r="A36" s="3"/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3"/>
      <c r="M36" s="3"/>
      <c r="N36" s="132">
        <v>100.0</v>
      </c>
      <c r="O36" s="138">
        <f>Laminado!C10</f>
        <v>126.7243151</v>
      </c>
      <c r="P36" s="139">
        <f t="shared" si="15"/>
        <v>253.4486303</v>
      </c>
      <c r="Q36" s="3"/>
      <c r="T36" s="84" t="str">
        <f>troquelados!W48</f>
        <v>26 a 50</v>
      </c>
      <c r="U36" s="84">
        <f>troquelados!X48</f>
        <v>253.9444027</v>
      </c>
      <c r="V36" s="84">
        <f>troquelados!Y48</f>
        <v>304.7332832</v>
      </c>
      <c r="W36" s="84">
        <f>troquelados!Z48</f>
        <v>365.6799399</v>
      </c>
      <c r="X36" s="84">
        <f>troquelados!AA48</f>
        <v>438.8159279</v>
      </c>
      <c r="Y36" s="84">
        <f>troquelados!AB48</f>
        <v>526.5791134</v>
      </c>
    </row>
    <row r="37" ht="15.75" customHeight="1">
      <c r="A37" s="3"/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3"/>
      <c r="M37" s="3"/>
      <c r="N37" s="3"/>
      <c r="O37" s="138">
        <f>Laminado!C11</f>
        <v>118.5485529</v>
      </c>
      <c r="P37" s="139">
        <f t="shared" si="15"/>
        <v>237.0971057</v>
      </c>
      <c r="Q37" s="3"/>
      <c r="T37" s="84" t="str">
        <f>troquelados!W49</f>
        <v>51 a 100</v>
      </c>
      <c r="U37" s="84">
        <f>troquelados!X49</f>
        <v>230.8585479</v>
      </c>
      <c r="V37" s="84">
        <f>troquelados!Y49</f>
        <v>277.0302575</v>
      </c>
      <c r="W37" s="84">
        <f>troquelados!Z49</f>
        <v>332.436309</v>
      </c>
      <c r="X37" s="84">
        <f>troquelados!AA49</f>
        <v>398.9235708</v>
      </c>
      <c r="Y37" s="84">
        <f>troquelados!AB49</f>
        <v>478.708285</v>
      </c>
    </row>
    <row r="38" ht="15.75" customHeight="1">
      <c r="A38" s="3"/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3"/>
      <c r="M38" s="3"/>
      <c r="N38" s="3"/>
      <c r="O38" s="138"/>
      <c r="P38" s="139">
        <f t="shared" si="15"/>
        <v>0</v>
      </c>
      <c r="Q38" s="3"/>
      <c r="T38" s="84" t="str">
        <f>troquelados!W50</f>
        <v>mas de 100</v>
      </c>
      <c r="U38" s="84">
        <f>troquelados!X50</f>
        <v>209.8714072</v>
      </c>
      <c r="V38" s="84">
        <f>troquelados!Y50</f>
        <v>251.8456886</v>
      </c>
      <c r="W38" s="84">
        <f>troquelados!Z50</f>
        <v>302.2148264</v>
      </c>
      <c r="X38" s="84">
        <f>troquelados!AA50</f>
        <v>362.6577916</v>
      </c>
      <c r="Y38" s="84">
        <f>troquelados!AB50</f>
        <v>435.18935</v>
      </c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L40" s="3"/>
      <c r="M40" s="3"/>
      <c r="T40" s="3"/>
    </row>
    <row r="41" ht="15.75" customHeight="1">
      <c r="A41" s="3"/>
      <c r="L41" s="3"/>
      <c r="M41" s="3"/>
      <c r="T41" s="3"/>
    </row>
    <row r="42" ht="15.75" customHeight="1">
      <c r="A42" s="3"/>
      <c r="L42" s="3"/>
      <c r="M42" s="3"/>
      <c r="T42" s="3"/>
    </row>
    <row r="43" ht="15.75" customHeight="1">
      <c r="A43" s="3"/>
      <c r="L43" s="3"/>
      <c r="M43" s="3"/>
      <c r="T43" s="3"/>
    </row>
    <row r="44" ht="15.75" customHeight="1">
      <c r="A44" s="3"/>
      <c r="L44" s="3"/>
      <c r="M44" s="3"/>
      <c r="T44" s="3"/>
    </row>
    <row r="45" ht="15.75" customHeight="1">
      <c r="A45" s="3"/>
      <c r="L45" s="3"/>
      <c r="M45" s="3"/>
      <c r="T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T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4.14"/>
    <col customWidth="1" min="16" max="16" width="11.43"/>
    <col customWidth="1" min="17" max="22" width="21.71"/>
    <col customWidth="1" min="23" max="23" width="19.71"/>
    <col customWidth="1" min="24" max="24" width="22.57"/>
    <col customWidth="1" min="25" max="28" width="19.71"/>
    <col customWidth="1" min="29" max="30" width="11.43"/>
    <col customWidth="1" min="31" max="33" width="14.86"/>
    <col customWidth="1" min="34" max="35" width="11.43"/>
  </cols>
  <sheetData>
    <row r="1" ht="23.25" customHeight="1">
      <c r="A1" s="140"/>
      <c r="B1" s="3"/>
      <c r="C1" s="3"/>
      <c r="D1" s="3"/>
      <c r="E1" s="3"/>
      <c r="F1" s="3"/>
      <c r="G1" s="3"/>
      <c r="H1" s="3"/>
      <c r="I1" s="3"/>
      <c r="J1" s="3"/>
      <c r="K1" s="3"/>
      <c r="L1" s="32"/>
      <c r="M1" s="3"/>
      <c r="N1" s="3"/>
      <c r="O1" s="3"/>
      <c r="P1" s="3"/>
      <c r="Q1" s="3"/>
      <c r="R1" s="3">
        <v>1.0</v>
      </c>
      <c r="S1" s="3">
        <v>1.15</v>
      </c>
      <c r="T1" s="3">
        <v>1.3</v>
      </c>
      <c r="U1" s="3">
        <v>1.45</v>
      </c>
      <c r="V1" s="3">
        <v>1.6</v>
      </c>
      <c r="W1" s="3"/>
      <c r="X1" s="3"/>
      <c r="Y1" s="3"/>
      <c r="Z1" s="3"/>
      <c r="AA1" s="3"/>
      <c r="AB1" s="3"/>
      <c r="AC1" s="3"/>
      <c r="AD1" s="3"/>
      <c r="AE1" s="32"/>
      <c r="AF1" s="32"/>
      <c r="AG1" s="32"/>
      <c r="AH1" s="3"/>
      <c r="AI1" s="3"/>
    </row>
    <row r="2" ht="23.25" customHeight="1">
      <c r="A2" s="14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P2" s="3"/>
      <c r="Q2" s="135"/>
      <c r="R2" s="142" t="s">
        <v>187</v>
      </c>
      <c r="S2" s="142" t="s">
        <v>188</v>
      </c>
      <c r="T2" s="142" t="s">
        <v>189</v>
      </c>
      <c r="U2" s="142" t="s">
        <v>190</v>
      </c>
      <c r="V2" s="142" t="s">
        <v>191</v>
      </c>
      <c r="W2" s="3"/>
      <c r="X2" s="3"/>
      <c r="Y2" s="3"/>
      <c r="Z2" s="3"/>
      <c r="AE2" s="32"/>
      <c r="AF2" s="32"/>
      <c r="AG2" s="32"/>
    </row>
    <row r="3" ht="23.25" customHeight="1">
      <c r="A3" s="141"/>
      <c r="B3" s="32"/>
      <c r="C3" s="32" t="s">
        <v>192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P3" s="3"/>
      <c r="Q3" s="143"/>
      <c r="R3" s="144" t="s">
        <v>193</v>
      </c>
      <c r="S3" s="144" t="s">
        <v>194</v>
      </c>
      <c r="T3" s="144" t="s">
        <v>195</v>
      </c>
      <c r="U3" s="144" t="s">
        <v>196</v>
      </c>
      <c r="V3" s="144" t="s">
        <v>197</v>
      </c>
      <c r="W3" s="3"/>
      <c r="X3" s="3" t="s">
        <v>198</v>
      </c>
      <c r="Y3" s="3">
        <v>168.0</v>
      </c>
      <c r="Z3" s="3"/>
      <c r="AE3" s="32"/>
      <c r="AF3" s="32"/>
      <c r="AG3" s="32"/>
    </row>
    <row r="4" ht="23.25" customHeight="1">
      <c r="A4" s="14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P4" s="32">
        <v>1.7</v>
      </c>
      <c r="Q4" s="145" t="s">
        <v>199</v>
      </c>
      <c r="R4" s="146">
        <v>118.80000000000001</v>
      </c>
      <c r="S4" s="146">
        <v>145.20000000000002</v>
      </c>
      <c r="T4" s="146">
        <v>171.6</v>
      </c>
      <c r="U4" s="146">
        <v>184.79999999999998</v>
      </c>
      <c r="V4" s="146">
        <v>211.2</v>
      </c>
      <c r="W4" s="3"/>
      <c r="X4" s="3"/>
      <c r="Y4" s="3"/>
      <c r="Z4" s="3"/>
      <c r="AE4" s="32"/>
      <c r="AF4" s="32"/>
      <c r="AG4" s="32"/>
    </row>
    <row r="5" ht="23.25" customHeight="1">
      <c r="A5" s="147" t="s">
        <v>200</v>
      </c>
      <c r="B5" s="148" t="s">
        <v>165</v>
      </c>
      <c r="C5" s="148" t="s">
        <v>166</v>
      </c>
      <c r="D5" s="148" t="s">
        <v>167</v>
      </c>
      <c r="E5" s="148" t="s">
        <v>168</v>
      </c>
      <c r="F5" s="148" t="s">
        <v>169</v>
      </c>
      <c r="G5" s="148" t="s">
        <v>170</v>
      </c>
      <c r="H5" s="148" t="s">
        <v>171</v>
      </c>
      <c r="I5" s="148" t="s">
        <v>172</v>
      </c>
      <c r="J5" s="148" t="s">
        <v>173</v>
      </c>
      <c r="K5" s="149" t="s">
        <v>201</v>
      </c>
      <c r="L5" s="150" t="s">
        <v>202</v>
      </c>
      <c r="M5" s="151" t="s">
        <v>203</v>
      </c>
      <c r="N5" s="150" t="s">
        <v>204</v>
      </c>
      <c r="O5" s="150" t="s">
        <v>205</v>
      </c>
      <c r="P5" s="32">
        <v>1.6</v>
      </c>
      <c r="Q5" s="145" t="s">
        <v>206</v>
      </c>
      <c r="R5" s="146">
        <v>99.0</v>
      </c>
      <c r="S5" s="146">
        <v>125.4</v>
      </c>
      <c r="T5" s="146">
        <v>151.8</v>
      </c>
      <c r="U5" s="146">
        <v>165.0</v>
      </c>
      <c r="V5" s="146">
        <v>191.4</v>
      </c>
      <c r="W5" s="3">
        <v>0.356</v>
      </c>
      <c r="X5" s="3" t="s">
        <v>52</v>
      </c>
      <c r="Y5" s="3">
        <f>Y7*Z5</f>
        <v>73.92</v>
      </c>
      <c r="Z5" s="3">
        <v>2.0</v>
      </c>
      <c r="AB5" s="131">
        <v>100.0</v>
      </c>
      <c r="AE5" s="32"/>
      <c r="AF5" s="32"/>
      <c r="AG5" s="32"/>
    </row>
    <row r="6" ht="23.25" customHeight="1">
      <c r="A6" s="152">
        <v>100.0</v>
      </c>
      <c r="B6" s="153">
        <f>(Q20+AB20)*$B$42</f>
        <v>523932.136</v>
      </c>
      <c r="C6" s="153">
        <f>(Q20+AB20)*$C$42</f>
        <v>523932.136</v>
      </c>
      <c r="D6" s="153">
        <f>(Q20+AA20)*$D$42</f>
        <v>523842.28</v>
      </c>
      <c r="E6" s="153">
        <f>(Q21+Z20)*$E$42</f>
        <v>937346.8</v>
      </c>
      <c r="F6" s="153">
        <f>(Q21+Z21)*$F$42</f>
        <v>1405918.091</v>
      </c>
      <c r="G6" s="153">
        <f>(Q21+Z21)*$G$42</f>
        <v>1874557.455</v>
      </c>
      <c r="H6" s="153">
        <f>(Q21+Y21)*$H$42</f>
        <v>2342913.182</v>
      </c>
      <c r="I6" s="153">
        <f>(Q21+Y21)*$I$42</f>
        <v>3280078.455</v>
      </c>
      <c r="J6" s="153">
        <f>(Q21+Y21)*$J$42</f>
        <v>4217243.727</v>
      </c>
      <c r="K6" s="153">
        <f>(Q21+Y21)*$J$42</f>
        <v>4217243.727</v>
      </c>
      <c r="L6" s="153">
        <f>(Q21+X21)*$L$42</f>
        <v>6090959.727</v>
      </c>
      <c r="M6" s="153">
        <f>(Q21+X22)*$M$42</f>
        <v>7964735.893</v>
      </c>
      <c r="N6" s="153">
        <f>(Q22+X23)*$N$42</f>
        <v>15460508.62</v>
      </c>
      <c r="O6" s="153">
        <f>(Q22+X23)*$O$42</f>
        <v>22736042.09</v>
      </c>
      <c r="P6" s="32">
        <v>1.5</v>
      </c>
      <c r="Q6" s="154" t="s">
        <v>207</v>
      </c>
      <c r="R6" s="146">
        <v>92.39999999999999</v>
      </c>
      <c r="S6" s="146">
        <v>118.80000000000001</v>
      </c>
      <c r="T6" s="146">
        <v>145.20000000000002</v>
      </c>
      <c r="U6" s="146">
        <v>158.4</v>
      </c>
      <c r="V6" s="146">
        <v>184.79999999999998</v>
      </c>
      <c r="W6" s="3">
        <v>0.11</v>
      </c>
      <c r="X6" s="3" t="s">
        <v>53</v>
      </c>
      <c r="Y6" s="3">
        <f>W6*Y3</f>
        <v>18.48</v>
      </c>
      <c r="Z6" s="3"/>
      <c r="AB6" s="131">
        <v>200.0</v>
      </c>
      <c r="AE6" s="32"/>
      <c r="AF6" s="32"/>
      <c r="AG6" s="32"/>
    </row>
    <row r="7" ht="23.25" customHeight="1">
      <c r="A7" s="152">
        <v>200.0</v>
      </c>
      <c r="B7" s="153">
        <f>(Q20+AB20)*$B$42</f>
        <v>523932.136</v>
      </c>
      <c r="C7" s="153">
        <f>(Q20+AB20)*$C$42</f>
        <v>523932.136</v>
      </c>
      <c r="D7" s="153">
        <f>(Q21+AA20)*$D$43</f>
        <v>937496.56</v>
      </c>
      <c r="E7" s="153">
        <f>(Q21+Z21)*$E$43</f>
        <v>1405918.091</v>
      </c>
      <c r="F7" s="153">
        <f>(Q21+Z21)*$F$43</f>
        <v>2343196.818</v>
      </c>
      <c r="G7" s="153">
        <f>(Q21+Z21)*$G$43</f>
        <v>3749114.909</v>
      </c>
      <c r="H7" s="153">
        <f>(Q21+Y21)*$H$43</f>
        <v>4217243.727</v>
      </c>
      <c r="I7" s="153">
        <f>(Q21+Y21)*$I$43</f>
        <v>6560156.909</v>
      </c>
      <c r="J7" s="153">
        <f>(Q21+Y22)*$J$43</f>
        <v>7965466.471</v>
      </c>
      <c r="K7" s="153">
        <f>(Q21+Y22)*$J$43</f>
        <v>7965466.471</v>
      </c>
      <c r="L7" s="153">
        <f>(Q21+X22)*$L$43</f>
        <v>11712846.9</v>
      </c>
      <c r="M7" s="153">
        <f>(Q22+X23)*$M$43</f>
        <v>15460508.62</v>
      </c>
      <c r="N7" s="153">
        <f>(Q23+X24)*$N$43</f>
        <v>29542282.09</v>
      </c>
      <c r="O7" s="153">
        <f>(Q23+X24)*$O$43</f>
        <v>44092958.35</v>
      </c>
      <c r="P7" s="32">
        <v>1.4</v>
      </c>
      <c r="Q7" s="154" t="s">
        <v>180</v>
      </c>
      <c r="R7" s="146">
        <v>85.8</v>
      </c>
      <c r="S7" s="146">
        <v>112.20000000000002</v>
      </c>
      <c r="T7" s="146">
        <v>138.60000000000002</v>
      </c>
      <c r="U7" s="146">
        <v>151.8</v>
      </c>
      <c r="V7" s="146">
        <v>178.2</v>
      </c>
      <c r="W7" s="3">
        <v>0.22</v>
      </c>
      <c r="X7" s="3" t="s">
        <v>208</v>
      </c>
      <c r="Y7" s="3">
        <f>W7*Y3</f>
        <v>36.96</v>
      </c>
      <c r="Z7" s="3"/>
      <c r="AB7" s="131">
        <v>300.0</v>
      </c>
      <c r="AE7" s="32"/>
      <c r="AF7" s="32"/>
      <c r="AG7" s="32"/>
    </row>
    <row r="8" ht="23.25" customHeight="1">
      <c r="A8" s="152">
        <v>300.0</v>
      </c>
      <c r="B8" s="153">
        <f>(Q20+AB20)*$B$42</f>
        <v>523932.136</v>
      </c>
      <c r="C8" s="153">
        <f>(Q21+AB20)*$C$44</f>
        <v>937676.272</v>
      </c>
      <c r="D8" s="153">
        <f>(Q21+AA21)*$D$44</f>
        <v>1406122.309</v>
      </c>
      <c r="E8" s="153">
        <f>(Q21+Z21)*$E$44</f>
        <v>2343196.818</v>
      </c>
      <c r="F8" s="153">
        <f>(Q21+Z21)*$F$44</f>
        <v>3280475.545</v>
      </c>
      <c r="G8" s="153">
        <f>(Q21+Z22)*$G$44</f>
        <v>5154692.636</v>
      </c>
      <c r="H8" s="153">
        <f>(Q21+Y22)*$H$44</f>
        <v>6091239.066</v>
      </c>
      <c r="I8" s="153">
        <f>(Q21+Y22)*$I$44</f>
        <v>9371137.025</v>
      </c>
      <c r="J8" s="153">
        <f>(Q21+Y22)*$J$44</f>
        <v>11713921.28</v>
      </c>
      <c r="K8" s="153">
        <f>(Q21+Y22)*$J$44</f>
        <v>11713921.28</v>
      </c>
      <c r="L8" s="153">
        <f>(Q22+X22)*$L$44</f>
        <v>17280134.29</v>
      </c>
      <c r="M8" s="153">
        <f>(Q22+X23)*$M$44</f>
        <v>22736042.09</v>
      </c>
      <c r="N8" s="153">
        <f>(Q23+X24)*$N$44</f>
        <v>44092958.35</v>
      </c>
      <c r="O8" s="153">
        <f>(Q24+X24)*$O$44</f>
        <v>64073412.52</v>
      </c>
      <c r="P8" s="32">
        <v>1.3</v>
      </c>
      <c r="Q8" s="154" t="s">
        <v>181</v>
      </c>
      <c r="R8" s="146">
        <v>79.2</v>
      </c>
      <c r="S8" s="146">
        <v>105.6</v>
      </c>
      <c r="T8" s="146">
        <v>132.0</v>
      </c>
      <c r="U8" s="146">
        <v>145.20000000000002</v>
      </c>
      <c r="V8" s="146">
        <v>171.6</v>
      </c>
      <c r="W8" s="3">
        <v>0.22</v>
      </c>
      <c r="X8" s="3" t="s">
        <v>209</v>
      </c>
      <c r="Y8" s="3">
        <f>W8*Y3</f>
        <v>36.96</v>
      </c>
      <c r="Z8" s="3"/>
      <c r="AE8" s="32"/>
      <c r="AF8" s="32"/>
      <c r="AG8" s="32"/>
    </row>
    <row r="9" ht="23.25" customHeight="1">
      <c r="A9" s="152">
        <v>500.0</v>
      </c>
      <c r="B9" s="153">
        <f>(Q20+AB20)*$B$42</f>
        <v>523932.136</v>
      </c>
      <c r="C9" s="153">
        <f>(Q21+AB20)*$C$45</f>
        <v>937676.272</v>
      </c>
      <c r="D9" s="153">
        <f>(Q21+AA21)*$D$45</f>
        <v>2343537.182</v>
      </c>
      <c r="E9" s="153">
        <f>(Q21+Z21)*$E$45</f>
        <v>3749114.909</v>
      </c>
      <c r="F9" s="153">
        <f>(Q21+Z22)*$F$45</f>
        <v>5623301.058</v>
      </c>
      <c r="G9" s="153">
        <f>(Q21+Z22)*$G$45</f>
        <v>8434951.587</v>
      </c>
      <c r="H9" s="153">
        <f>(Q21+Y22)*$H$45</f>
        <v>9839693.876</v>
      </c>
      <c r="I9" s="153">
        <f>(Q22+Y23)*$I$45</f>
        <v>15461836.95</v>
      </c>
      <c r="J9" s="153">
        <f>(Q23+Y23)*$J$45</f>
        <v>18521429.23</v>
      </c>
      <c r="K9" s="153">
        <f>(Q23+Y23)*$J$45</f>
        <v>18521429.23</v>
      </c>
      <c r="L9" s="153">
        <f>(Q23+X23)*$L$45</f>
        <v>27779682.54</v>
      </c>
      <c r="M9" s="153">
        <f>(Q23+X24)*$M$45</f>
        <v>37038085.01</v>
      </c>
      <c r="N9" s="153">
        <f>(Q24+X24)*$N$45</f>
        <v>71335065.94</v>
      </c>
      <c r="O9" s="153">
        <f>(Q24+X24)*$O$45</f>
        <v>85431216.7</v>
      </c>
      <c r="P9" s="32">
        <v>1.2</v>
      </c>
      <c r="Q9" s="154" t="s">
        <v>210</v>
      </c>
      <c r="R9" s="146">
        <v>78.0</v>
      </c>
      <c r="S9" s="146">
        <v>99.0</v>
      </c>
      <c r="T9" s="146">
        <v>125.4</v>
      </c>
      <c r="U9" s="146">
        <v>138.60000000000002</v>
      </c>
      <c r="V9" s="146">
        <v>165.0</v>
      </c>
      <c r="W9" s="3"/>
      <c r="X9" s="3"/>
      <c r="Y9" s="3"/>
      <c r="Z9" s="3"/>
      <c r="AE9" s="32"/>
      <c r="AF9" s="32"/>
      <c r="AG9" s="32"/>
    </row>
    <row r="10" ht="23.25" customHeight="1">
      <c r="A10" s="152">
        <v>1000.0</v>
      </c>
      <c r="B10" s="153">
        <f>(Q20+AB20)*$B$42</f>
        <v>523932.136</v>
      </c>
      <c r="C10" s="153">
        <f>(Q21+AB21)*$C$46</f>
        <v>1875156.495</v>
      </c>
      <c r="D10" s="153">
        <f>(Q21+AA21)*$D$46</f>
        <v>4218366.927</v>
      </c>
      <c r="E10" s="153">
        <f>(Q21+Z22)*$E$46</f>
        <v>7029126.322</v>
      </c>
      <c r="F10" s="153">
        <f>(Q21+Z22)*$F$46</f>
        <v>10777993.69</v>
      </c>
      <c r="G10" s="153">
        <f>(Q22+Z23)*$G$46</f>
        <v>16373044.52</v>
      </c>
      <c r="H10" s="153">
        <f>(Q22+Y23)*$H$46</f>
        <v>19099916.23</v>
      </c>
      <c r="I10" s="153">
        <f>(Q23+Y24)*$I$46</f>
        <v>29544661.71</v>
      </c>
      <c r="J10" s="153">
        <f>(Q23+Y24)*$J$46</f>
        <v>37041068.42</v>
      </c>
      <c r="K10" s="153">
        <f>(Q23+Y24)*$J$46</f>
        <v>37041068.42</v>
      </c>
      <c r="L10" s="153">
        <f>(Q24+X24)*$L$46</f>
        <v>53394510.44</v>
      </c>
      <c r="M10" s="153">
        <f>(Q24+X24)*$M$46</f>
        <v>71335065.94</v>
      </c>
      <c r="N10" s="153">
        <f>(Q25+X24)*$N$46</f>
        <v>138069782.9</v>
      </c>
      <c r="O10" s="153">
        <f>(Q25+X24)*$O$46</f>
        <v>206691291.7</v>
      </c>
      <c r="P10" s="3"/>
      <c r="W10" s="3">
        <v>0.055555</v>
      </c>
      <c r="X10" s="3" t="s">
        <v>55</v>
      </c>
      <c r="Y10" s="3">
        <f>W10*Y3</f>
        <v>9.33324</v>
      </c>
      <c r="Z10" s="3">
        <v>2.0</v>
      </c>
      <c r="AE10" s="32"/>
      <c r="AF10" s="32"/>
      <c r="AG10" s="32"/>
    </row>
    <row r="11" ht="23.25" customHeight="1">
      <c r="A11" s="14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P11" s="3"/>
      <c r="Q11" s="143"/>
      <c r="R11" s="144" t="s">
        <v>193</v>
      </c>
      <c r="S11" s="144" t="s">
        <v>194</v>
      </c>
      <c r="T11" s="144" t="s">
        <v>195</v>
      </c>
      <c r="U11" s="144" t="s">
        <v>196</v>
      </c>
      <c r="V11" s="144" t="s">
        <v>197</v>
      </c>
      <c r="W11" s="3"/>
      <c r="X11" s="3"/>
      <c r="Y11" s="3"/>
      <c r="Z11" s="3"/>
      <c r="AE11" s="32"/>
      <c r="AF11" s="32"/>
      <c r="AG11" s="32"/>
    </row>
    <row r="12" ht="23.25" customHeight="1">
      <c r="A12" s="14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P12" s="3">
        <v>320.0</v>
      </c>
      <c r="Q12" s="145" t="s">
        <v>199</v>
      </c>
      <c r="R12" s="155">
        <f t="shared" ref="R12:R17" si="1">R4/P12</f>
        <v>0.37125</v>
      </c>
      <c r="S12" s="155">
        <f t="shared" ref="S12:S17" si="2">S4/P12</f>
        <v>0.45375</v>
      </c>
      <c r="T12" s="155">
        <f t="shared" ref="T12:T17" si="3">T4/P12</f>
        <v>0.53625</v>
      </c>
      <c r="U12" s="155">
        <f t="shared" ref="U12:U17" si="4">U4/P12</f>
        <v>0.5775</v>
      </c>
      <c r="V12" s="155">
        <f t="shared" ref="V12:V17" si="5">V4/P12</f>
        <v>0.66</v>
      </c>
      <c r="W12" s="3"/>
      <c r="X12" s="3"/>
      <c r="Y12" s="3"/>
      <c r="Z12" s="3"/>
      <c r="AE12" s="32"/>
      <c r="AF12" s="32"/>
      <c r="AG12" s="32"/>
    </row>
    <row r="13" ht="23.25" customHeight="1">
      <c r="A13" s="147" t="s">
        <v>200</v>
      </c>
      <c r="B13" s="148" t="s">
        <v>211</v>
      </c>
      <c r="C13" s="148" t="s">
        <v>212</v>
      </c>
      <c r="D13" s="148" t="s">
        <v>213</v>
      </c>
      <c r="E13" s="148" t="s">
        <v>214</v>
      </c>
      <c r="F13" s="148" t="s">
        <v>215</v>
      </c>
      <c r="G13" s="148" t="s">
        <v>216</v>
      </c>
      <c r="H13" s="148" t="s">
        <v>217</v>
      </c>
      <c r="I13" s="148" t="s">
        <v>218</v>
      </c>
      <c r="J13" s="148" t="s">
        <v>219</v>
      </c>
      <c r="K13" s="149" t="s">
        <v>201</v>
      </c>
      <c r="L13" s="150" t="s">
        <v>202</v>
      </c>
      <c r="M13" s="151" t="s">
        <v>203</v>
      </c>
      <c r="N13" s="150" t="s">
        <v>220</v>
      </c>
      <c r="O13" s="150" t="s">
        <v>205</v>
      </c>
      <c r="P13" s="3">
        <v>320.0</v>
      </c>
      <c r="Q13" s="145" t="s">
        <v>206</v>
      </c>
      <c r="R13" s="155">
        <f t="shared" si="1"/>
        <v>0.309375</v>
      </c>
      <c r="S13" s="155">
        <f t="shared" si="2"/>
        <v>0.391875</v>
      </c>
      <c r="T13" s="155">
        <f t="shared" si="3"/>
        <v>0.474375</v>
      </c>
      <c r="U13" s="155">
        <f t="shared" si="4"/>
        <v>0.515625</v>
      </c>
      <c r="V13" s="155">
        <f t="shared" si="5"/>
        <v>0.598125</v>
      </c>
      <c r="W13" s="3"/>
      <c r="X13" s="3"/>
      <c r="Y13" s="3"/>
      <c r="Z13" s="3"/>
      <c r="AE13" s="32"/>
      <c r="AF13" s="32"/>
      <c r="AG13" s="32"/>
    </row>
    <row r="14" ht="23.25" customHeight="1">
      <c r="A14" s="152">
        <v>100.0</v>
      </c>
      <c r="B14" s="153">
        <f>B6+(T32*B42)</f>
        <v>524068.3987</v>
      </c>
      <c r="C14" s="153">
        <f>C6+(T32*C42)</f>
        <v>524068.3987</v>
      </c>
      <c r="D14" s="153">
        <f>D6+(T32*D42)</f>
        <v>523978.5427</v>
      </c>
      <c r="E14" s="153">
        <f>E6+(T32*E42)</f>
        <v>937619.3254</v>
      </c>
      <c r="F14" s="153">
        <f>F6+(T32*F42)</f>
        <v>1406326.879</v>
      </c>
      <c r="G14" s="153">
        <f>G6+(T32*G42)</f>
        <v>1875102.505</v>
      </c>
      <c r="H14" s="153">
        <f>H6+(T32*H42)</f>
        <v>2343594.495</v>
      </c>
      <c r="I14" s="153">
        <f t="shared" ref="I14:I15" si="6">I6+(T32*I42)</f>
        <v>3281032.293</v>
      </c>
      <c r="J14" s="153">
        <f t="shared" ref="J14:J15" si="7">J6+(T32*J42)</f>
        <v>4218470.092</v>
      </c>
      <c r="K14" s="153">
        <f t="shared" ref="K14:K15" si="8">K6+(T32*K42)</f>
        <v>4218470.092</v>
      </c>
      <c r="L14" s="153">
        <f t="shared" ref="L14:L15" si="9">L6+(T32*L42)</f>
        <v>6092731.142</v>
      </c>
      <c r="M14" s="153">
        <f t="shared" ref="M14:M16" si="10">M6+(T32*M42)</f>
        <v>7967052.359</v>
      </c>
      <c r="N14" s="153">
        <f t="shared" ref="N14:N16" si="11">N6+(T32*N42)</f>
        <v>15465141.55</v>
      </c>
      <c r="O14" s="153">
        <f t="shared" ref="O14:O15" si="12">O6+(T33*O42)</f>
        <v>22742344.24</v>
      </c>
      <c r="P14" s="3">
        <v>320.0</v>
      </c>
      <c r="Q14" s="154" t="s">
        <v>207</v>
      </c>
      <c r="R14" s="155">
        <f t="shared" si="1"/>
        <v>0.28875</v>
      </c>
      <c r="S14" s="155">
        <f t="shared" si="2"/>
        <v>0.37125</v>
      </c>
      <c r="T14" s="155">
        <f t="shared" si="3"/>
        <v>0.45375</v>
      </c>
      <c r="U14" s="155">
        <f t="shared" si="4"/>
        <v>0.495</v>
      </c>
      <c r="V14" s="155">
        <f t="shared" si="5"/>
        <v>0.5775</v>
      </c>
      <c r="W14" s="3"/>
      <c r="X14" s="3"/>
      <c r="Y14" s="3"/>
      <c r="Z14" s="3"/>
      <c r="AE14" s="32"/>
      <c r="AF14" s="32"/>
      <c r="AG14" s="32"/>
    </row>
    <row r="15" ht="23.25" customHeight="1">
      <c r="A15" s="152">
        <v>200.0</v>
      </c>
      <c r="B15" s="153">
        <f>B7+(T32*B43)</f>
        <v>524068.3987</v>
      </c>
      <c r="C15" s="153">
        <f>C7+(T32*C43)</f>
        <v>524068.3987</v>
      </c>
      <c r="D15" s="153">
        <f>D7+(T32*D43)</f>
        <v>937769.0854</v>
      </c>
      <c r="E15" s="153">
        <f>E7+(T32*E43)</f>
        <v>1406326.879</v>
      </c>
      <c r="F15" s="153">
        <f>F7+(T32*F43)</f>
        <v>2343878.132</v>
      </c>
      <c r="G15" s="153">
        <f t="shared" ref="G15:G16" si="13">G7+(T32*G43)</f>
        <v>3750205.011</v>
      </c>
      <c r="H15" s="153">
        <f t="shared" ref="H15:H16" si="14">H7+(T32*H43)</f>
        <v>4218470.092</v>
      </c>
      <c r="I15" s="153">
        <f t="shared" si="6"/>
        <v>6561921.511</v>
      </c>
      <c r="J15" s="153">
        <f t="shared" si="7"/>
        <v>7967609.202</v>
      </c>
      <c r="K15" s="153">
        <f t="shared" si="8"/>
        <v>7967609.202</v>
      </c>
      <c r="L15" s="153">
        <f t="shared" si="9"/>
        <v>11715997.98</v>
      </c>
      <c r="M15" s="153">
        <f t="shared" si="10"/>
        <v>15464794.08</v>
      </c>
      <c r="N15" s="153">
        <f t="shared" si="11"/>
        <v>29550726.98</v>
      </c>
      <c r="O15" s="153">
        <f t="shared" si="12"/>
        <v>44104540.68</v>
      </c>
      <c r="P15" s="3">
        <v>320.0</v>
      </c>
      <c r="Q15" s="154" t="s">
        <v>180</v>
      </c>
      <c r="R15" s="155">
        <f t="shared" si="1"/>
        <v>0.268125</v>
      </c>
      <c r="S15" s="155">
        <f t="shared" si="2"/>
        <v>0.350625</v>
      </c>
      <c r="T15" s="155">
        <f t="shared" si="3"/>
        <v>0.433125</v>
      </c>
      <c r="U15" s="155">
        <f t="shared" si="4"/>
        <v>0.474375</v>
      </c>
      <c r="V15" s="155">
        <f t="shared" si="5"/>
        <v>0.556875</v>
      </c>
      <c r="W15" s="3"/>
      <c r="X15" s="3"/>
      <c r="Y15" s="3"/>
      <c r="Z15" s="3"/>
      <c r="AE15" s="32"/>
      <c r="AF15" s="32"/>
      <c r="AG15" s="32"/>
    </row>
    <row r="16" ht="23.25" customHeight="1">
      <c r="A16" s="152">
        <v>300.0</v>
      </c>
      <c r="B16" s="153">
        <f>B8+(T32*B44)</f>
        <v>524068.3987</v>
      </c>
      <c r="C16" s="153">
        <f>C8+(T32*C44)</f>
        <v>937948.7974</v>
      </c>
      <c r="D16" s="153">
        <f>D8+(T32*D44)</f>
        <v>1406531.097</v>
      </c>
      <c r="E16" s="153">
        <f>E8+(T32*E44)</f>
        <v>2343878.132</v>
      </c>
      <c r="F16" s="153">
        <f t="shared" ref="F16:F17" si="15">F8+(T32*F44)</f>
        <v>3281429.384</v>
      </c>
      <c r="G16" s="153">
        <f t="shared" si="13"/>
        <v>5156079.109</v>
      </c>
      <c r="H16" s="153">
        <f t="shared" si="14"/>
        <v>6092877.625</v>
      </c>
      <c r="I16" s="153">
        <f>I8+(T33*I44)</f>
        <v>9373657.885</v>
      </c>
      <c r="J16" s="153">
        <f>J8+(T33*J44)</f>
        <v>11717072.36</v>
      </c>
      <c r="K16" s="153">
        <f>K8+(T33*K44)</f>
        <v>11717072.36</v>
      </c>
      <c r="L16" s="153">
        <f t="shared" ref="L16:L18" si="16">L8+(T33*L44)</f>
        <v>17284923.92</v>
      </c>
      <c r="M16" s="153">
        <f t="shared" si="10"/>
        <v>22741833.26</v>
      </c>
      <c r="N16" s="153">
        <f t="shared" si="11"/>
        <v>44104540.68</v>
      </c>
      <c r="O16" s="153">
        <f t="shared" ref="O16:O17" si="17">O8+(T34*O44)</f>
        <v>64090786.02</v>
      </c>
      <c r="P16" s="3">
        <v>320.0</v>
      </c>
      <c r="Q16" s="154" t="s">
        <v>181</v>
      </c>
      <c r="R16" s="155">
        <f t="shared" si="1"/>
        <v>0.2475</v>
      </c>
      <c r="S16" s="155">
        <f t="shared" si="2"/>
        <v>0.33</v>
      </c>
      <c r="T16" s="155">
        <f t="shared" si="3"/>
        <v>0.4125</v>
      </c>
      <c r="U16" s="155">
        <f t="shared" si="4"/>
        <v>0.45375</v>
      </c>
      <c r="V16" s="155">
        <f t="shared" si="5"/>
        <v>0.53625</v>
      </c>
      <c r="W16" s="3"/>
      <c r="X16" s="3"/>
      <c r="Y16" s="3"/>
      <c r="Z16" s="3"/>
      <c r="AE16" s="32"/>
      <c r="AF16" s="32"/>
      <c r="AG16" s="32"/>
    </row>
    <row r="17" ht="23.25" customHeight="1">
      <c r="A17" s="152">
        <v>500.0</v>
      </c>
      <c r="B17" s="153">
        <f>B9+(T32*B45)</f>
        <v>524068.3987</v>
      </c>
      <c r="C17" s="153">
        <f>C9+(T32*C45)</f>
        <v>937948.7974</v>
      </c>
      <c r="D17" s="153">
        <f>D9+(T32*D45)</f>
        <v>2344218.495</v>
      </c>
      <c r="E17" s="153">
        <f t="shared" ref="E17:E18" si="18">E9+(T32*E45)</f>
        <v>3750205.011</v>
      </c>
      <c r="F17" s="153">
        <f t="shared" si="15"/>
        <v>5624813.574</v>
      </c>
      <c r="G17" s="153">
        <f>G9+(T33*G45)</f>
        <v>8437220.361</v>
      </c>
      <c r="H17" s="153">
        <f>H9+(T33*H45)</f>
        <v>9842340.779</v>
      </c>
      <c r="I17" s="153">
        <f t="shared" ref="I17:I18" si="19">I9+(T33*I45)</f>
        <v>15466122.41</v>
      </c>
      <c r="J17" s="153">
        <f t="shared" ref="J17:J18" si="20">J9+(T33*J45)</f>
        <v>18526723.04</v>
      </c>
      <c r="K17" s="153">
        <f t="shared" ref="K17:K18" si="21">K9+(T33*K45)</f>
        <v>18526723.04</v>
      </c>
      <c r="L17" s="153">
        <f t="shared" si="16"/>
        <v>27786979.4</v>
      </c>
      <c r="M17" s="153">
        <f t="shared" ref="M17:M18" si="22">M9+(T34*M45)</f>
        <v>37047814.17</v>
      </c>
      <c r="N17" s="153">
        <f t="shared" ref="N17:N18" si="23">N9+(T34*N45)</f>
        <v>71354408.44</v>
      </c>
      <c r="O17" s="153">
        <f t="shared" si="17"/>
        <v>85452337.42</v>
      </c>
      <c r="P17" s="3">
        <v>320.0</v>
      </c>
      <c r="Q17" s="154" t="s">
        <v>210</v>
      </c>
      <c r="R17" s="155">
        <f t="shared" si="1"/>
        <v>0.24375</v>
      </c>
      <c r="S17" s="155">
        <f t="shared" si="2"/>
        <v>0.309375</v>
      </c>
      <c r="T17" s="155">
        <f t="shared" si="3"/>
        <v>0.391875</v>
      </c>
      <c r="U17" s="155">
        <f t="shared" si="4"/>
        <v>0.433125</v>
      </c>
      <c r="V17" s="155">
        <f t="shared" si="5"/>
        <v>0.515625</v>
      </c>
      <c r="W17" s="3"/>
      <c r="X17" s="3">
        <v>1.0</v>
      </c>
      <c r="Y17" s="3">
        <v>2.0</v>
      </c>
      <c r="Z17" s="3">
        <v>1.2</v>
      </c>
      <c r="AA17" s="3">
        <v>1.2</v>
      </c>
      <c r="AB17" s="3">
        <v>1.2</v>
      </c>
      <c r="AE17" s="32"/>
      <c r="AF17" s="32"/>
      <c r="AG17" s="32"/>
      <c r="AH17" s="156"/>
      <c r="AI17" s="157"/>
    </row>
    <row r="18" ht="23.25" customHeight="1">
      <c r="A18" s="152">
        <v>1000.0</v>
      </c>
      <c r="B18" s="153">
        <f>B10+(T32*B46)</f>
        <v>524068.3987</v>
      </c>
      <c r="C18" s="153">
        <f>C10+(T32*C46)</f>
        <v>1875701.545</v>
      </c>
      <c r="D18" s="153">
        <f>D10+(T32*D46)</f>
        <v>4219593.292</v>
      </c>
      <c r="E18" s="153">
        <f t="shared" si="18"/>
        <v>7031016.967</v>
      </c>
      <c r="F18" s="153">
        <f>F10+(T33*F46)</f>
        <v>10780892.68</v>
      </c>
      <c r="G18" s="153">
        <f>G10+(T33*G46)</f>
        <v>16377582.07</v>
      </c>
      <c r="H18" s="153">
        <f>H10+(T33*H46)</f>
        <v>19105210.04</v>
      </c>
      <c r="I18" s="153">
        <f t="shared" si="19"/>
        <v>29552421.87</v>
      </c>
      <c r="J18" s="153">
        <f t="shared" si="20"/>
        <v>37050797.57</v>
      </c>
      <c r="K18" s="153">
        <f t="shared" si="21"/>
        <v>37050797.57</v>
      </c>
      <c r="L18" s="153">
        <f t="shared" si="16"/>
        <v>53407710.89</v>
      </c>
      <c r="M18" s="153">
        <f t="shared" si="22"/>
        <v>71352701.74</v>
      </c>
      <c r="N18" s="153">
        <f t="shared" si="23"/>
        <v>138105054.5</v>
      </c>
      <c r="O18" s="153">
        <f>O10+(T35*O46)</f>
        <v>206744093.5</v>
      </c>
      <c r="P18" s="3"/>
      <c r="Q18" s="158"/>
      <c r="R18" s="32"/>
      <c r="S18" s="32"/>
      <c r="T18" s="32" t="s">
        <v>221</v>
      </c>
      <c r="U18" s="32">
        <v>29.0</v>
      </c>
      <c r="V18" s="3">
        <v>44.0</v>
      </c>
      <c r="W18" s="3"/>
      <c r="X18" s="159" t="s">
        <v>222</v>
      </c>
      <c r="Y18" s="159" t="s">
        <v>223</v>
      </c>
      <c r="Z18" s="159" t="s">
        <v>224</v>
      </c>
      <c r="AA18" s="159" t="s">
        <v>225</v>
      </c>
      <c r="AB18" s="160" t="s">
        <v>226</v>
      </c>
      <c r="AE18" s="161" t="s">
        <v>227</v>
      </c>
      <c r="AF18" s="162" t="s">
        <v>228</v>
      </c>
      <c r="AG18" s="163" t="s">
        <v>229</v>
      </c>
      <c r="AH18" s="164"/>
      <c r="AI18" s="157"/>
    </row>
    <row r="19" ht="23.25" customHeight="1">
      <c r="A19" s="14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P19" s="3"/>
      <c r="Q19" s="165" t="s">
        <v>230</v>
      </c>
      <c r="R19" s="122"/>
      <c r="S19" s="122" t="s">
        <v>178</v>
      </c>
      <c r="T19" s="3" t="s">
        <v>231</v>
      </c>
      <c r="U19" s="3" t="s">
        <v>232</v>
      </c>
      <c r="V19" s="3" t="s">
        <v>233</v>
      </c>
      <c r="W19" s="166" t="s">
        <v>234</v>
      </c>
      <c r="X19" s="167" t="s">
        <v>235</v>
      </c>
      <c r="Y19" s="167" t="s">
        <v>236</v>
      </c>
      <c r="Z19" s="167" t="s">
        <v>237</v>
      </c>
      <c r="AA19" s="167" t="s">
        <v>238</v>
      </c>
      <c r="AB19" s="168" t="s">
        <v>239</v>
      </c>
      <c r="AC19" s="169" t="s">
        <v>240</v>
      </c>
      <c r="AE19" s="170">
        <f>Bajadas!S4</f>
        <v>523393</v>
      </c>
      <c r="AF19" s="171">
        <f>Bajadas!U4</f>
        <v>1341.8275</v>
      </c>
      <c r="AG19" s="172">
        <f>Bajadas!AT38</f>
        <v>370.5</v>
      </c>
      <c r="AH19" s="173"/>
      <c r="AI19" s="157"/>
    </row>
    <row r="20" ht="23.25" customHeight="1">
      <c r="A20" s="14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P20" s="3"/>
      <c r="Q20" s="174">
        <f>Bajadas!S4</f>
        <v>523393</v>
      </c>
      <c r="R20" s="175">
        <v>1.0</v>
      </c>
      <c r="S20" s="32">
        <v>1.0</v>
      </c>
      <c r="T20" s="3" t="s">
        <v>231</v>
      </c>
      <c r="U20" s="3">
        <f>U18*V18</f>
        <v>1276</v>
      </c>
      <c r="V20" s="20" t="s">
        <v>241</v>
      </c>
      <c r="W20" s="176" t="s">
        <v>199</v>
      </c>
      <c r="X20" s="177">
        <v>260.0</v>
      </c>
      <c r="Y20" s="177">
        <f>X20*Z17</f>
        <v>312</v>
      </c>
      <c r="Z20" s="177">
        <f t="shared" ref="Z20:AB20" si="24">Y20*Z17</f>
        <v>374.4</v>
      </c>
      <c r="AA20" s="177">
        <f t="shared" si="24"/>
        <v>449.28</v>
      </c>
      <c r="AB20" s="178">
        <f t="shared" si="24"/>
        <v>539.136</v>
      </c>
      <c r="AC20" s="179">
        <v>387.0</v>
      </c>
      <c r="AE20" s="170">
        <f>Bajadas!S5</f>
        <v>468299</v>
      </c>
      <c r="AF20" s="171">
        <f>Bajadas!U5</f>
        <v>1200.5825</v>
      </c>
      <c r="AG20" s="180">
        <f>Bajadas!AT39</f>
        <v>351</v>
      </c>
      <c r="AH20" s="173"/>
      <c r="AI20" s="157"/>
    </row>
    <row r="21" ht="23.25" customHeight="1">
      <c r="A21" s="181" t="s">
        <v>242</v>
      </c>
      <c r="B21" s="182" t="s">
        <v>211</v>
      </c>
      <c r="C21" s="182" t="s">
        <v>212</v>
      </c>
      <c r="D21" s="182" t="s">
        <v>213</v>
      </c>
      <c r="E21" s="182" t="s">
        <v>214</v>
      </c>
      <c r="F21" s="182" t="s">
        <v>215</v>
      </c>
      <c r="G21" s="182" t="s">
        <v>216</v>
      </c>
      <c r="H21" s="182" t="s">
        <v>217</v>
      </c>
      <c r="I21" s="182" t="s">
        <v>218</v>
      </c>
      <c r="J21" s="182" t="s">
        <v>219</v>
      </c>
      <c r="K21" s="183" t="s">
        <v>201</v>
      </c>
      <c r="L21" s="184" t="s">
        <v>202</v>
      </c>
      <c r="M21" s="185" t="s">
        <v>203</v>
      </c>
      <c r="N21" s="184" t="s">
        <v>220</v>
      </c>
      <c r="O21" s="184" t="s">
        <v>205</v>
      </c>
      <c r="P21" s="3"/>
      <c r="Q21" s="174">
        <f>Bajadas!S5</f>
        <v>468299</v>
      </c>
      <c r="R21" s="175" t="s">
        <v>179</v>
      </c>
      <c r="S21" s="32">
        <v>1.0</v>
      </c>
      <c r="T21" s="3" t="s">
        <v>231</v>
      </c>
      <c r="U21" s="3">
        <f t="shared" ref="U21:U25" si="25">U20</f>
        <v>1276</v>
      </c>
      <c r="V21" s="20">
        <v>1.1</v>
      </c>
      <c r="W21" s="176" t="s">
        <v>206</v>
      </c>
      <c r="X21" s="177">
        <f t="shared" ref="X21:X24" si="26">X20/V22</f>
        <v>236.3636364</v>
      </c>
      <c r="Y21" s="177">
        <f t="shared" ref="Y21:Y25" si="27">Y20/V22</f>
        <v>283.6363636</v>
      </c>
      <c r="Z21" s="177">
        <f t="shared" ref="Z21:Z25" si="28">Z20/V22</f>
        <v>340.3636364</v>
      </c>
      <c r="AA21" s="177">
        <f t="shared" ref="AA21:AA25" si="29">AA20/V22</f>
        <v>408.4363636</v>
      </c>
      <c r="AB21" s="178">
        <f t="shared" ref="AB21:AB25" si="30">AB20/V22</f>
        <v>490.1236364</v>
      </c>
      <c r="AC21" s="179">
        <v>352.0</v>
      </c>
      <c r="AE21" s="170">
        <f>Bajadas!S6</f>
        <v>454525.5</v>
      </c>
      <c r="AF21" s="171">
        <f>Bajadas!U6</f>
        <v>1165.27125</v>
      </c>
      <c r="AG21" s="180">
        <f>Bajadas!AT40</f>
        <v>331.5</v>
      </c>
      <c r="AH21" s="173"/>
      <c r="AI21" s="157"/>
    </row>
    <row r="22" ht="23.25" customHeight="1">
      <c r="A22" s="152">
        <v>100.0</v>
      </c>
      <c r="B22" s="153">
        <f>(Q32+AB45)*$B$42</f>
        <v>2042.7043</v>
      </c>
      <c r="C22" s="153">
        <f>(Q32+AB45)*$C$42</f>
        <v>2042.7043</v>
      </c>
      <c r="D22" s="153">
        <f>(Q32+AA45)*$D$42</f>
        <v>1925.8915</v>
      </c>
      <c r="E22" s="153">
        <f>(Q32+Z45)*$E$42</f>
        <v>3657.095</v>
      </c>
      <c r="F22" s="153">
        <f>(Q33+Z46)*$F$42</f>
        <v>4929.165682</v>
      </c>
      <c r="G22" s="153">
        <f>(Q33+Z46)*$G$42</f>
        <v>6572.220909</v>
      </c>
      <c r="H22" s="153">
        <f>(Q33+Y46)*$H$42</f>
        <v>7846.548864</v>
      </c>
      <c r="I22" s="153">
        <f>(Q33+Y46)*$I$42</f>
        <v>10985.16841</v>
      </c>
      <c r="J22" s="153">
        <f>(Q33+Y46)*$J$42</f>
        <v>14123.78795</v>
      </c>
      <c r="K22" s="153">
        <f>(Q33+Y46)*$J$42</f>
        <v>14123.78795</v>
      </c>
      <c r="L22" s="153">
        <f>(Q33+X47)*$L$42</f>
        <v>19238.97746</v>
      </c>
      <c r="M22" s="153">
        <f>(Q33+X47)*$M$42</f>
        <v>25158.66283</v>
      </c>
      <c r="N22" s="153">
        <f>(Q34+X48)*$N$42</f>
        <v>48253.33219</v>
      </c>
      <c r="O22" s="153">
        <f>(Q39+X48)*$O$42</f>
        <v>62132.97014</v>
      </c>
      <c r="P22" s="3"/>
      <c r="Q22" s="174">
        <f>Bajadas!S6</f>
        <v>454525.5</v>
      </c>
      <c r="R22" s="175" t="s">
        <v>180</v>
      </c>
      <c r="S22" s="32">
        <v>1.0</v>
      </c>
      <c r="T22" s="3" t="s">
        <v>231</v>
      </c>
      <c r="U22" s="3">
        <f t="shared" si="25"/>
        <v>1276</v>
      </c>
      <c r="V22" s="20">
        <v>1.1</v>
      </c>
      <c r="W22" s="186" t="s">
        <v>207</v>
      </c>
      <c r="X22" s="177">
        <f t="shared" si="26"/>
        <v>214.8760331</v>
      </c>
      <c r="Y22" s="177">
        <f t="shared" si="27"/>
        <v>257.8512397</v>
      </c>
      <c r="Z22" s="177">
        <f t="shared" si="28"/>
        <v>309.4214876</v>
      </c>
      <c r="AA22" s="177">
        <f t="shared" si="29"/>
        <v>371.3057851</v>
      </c>
      <c r="AB22" s="178">
        <f t="shared" si="30"/>
        <v>445.5669421</v>
      </c>
      <c r="AC22" s="179">
        <v>320.0</v>
      </c>
      <c r="AE22" s="170">
        <f>Bajadas!S7</f>
        <v>440752</v>
      </c>
      <c r="AF22" s="171">
        <f>Bajadas!U7</f>
        <v>1129.96</v>
      </c>
      <c r="AG22" s="180">
        <f>Bajadas!AT41</f>
        <v>312</v>
      </c>
      <c r="AH22" s="173"/>
      <c r="AI22" s="157"/>
    </row>
    <row r="23" ht="23.25" customHeight="1">
      <c r="A23" s="152">
        <v>200.0</v>
      </c>
      <c r="B23" s="153">
        <f>(Q32+AB45)*$B$42</f>
        <v>2042.7043</v>
      </c>
      <c r="C23" s="153">
        <f>(Q32+AB45)*$C$43</f>
        <v>2042.7043</v>
      </c>
      <c r="D23" s="153">
        <f>(Q32+AA45)*$D$43</f>
        <v>3851.783</v>
      </c>
      <c r="E23" s="153">
        <f>(Q33+Z46)*$E$43</f>
        <v>4929.165682</v>
      </c>
      <c r="F23" s="153">
        <f>(Q33+Z46)*$F$43</f>
        <v>8215.276136</v>
      </c>
      <c r="G23" s="153">
        <f>(Q33+Z46)*$G$43</f>
        <v>13144.44182</v>
      </c>
      <c r="H23" s="153">
        <f>(Q33+Y46)*$H$43</f>
        <v>14123.78795</v>
      </c>
      <c r="I23" s="153">
        <f>(Q33+Y47)*$I$43</f>
        <v>21501.04756</v>
      </c>
      <c r="J23" s="153">
        <f>(Q33+Y47)*$J$43</f>
        <v>26108.4149</v>
      </c>
      <c r="K23" s="153">
        <f>(Q33+Y47)*$J$43</f>
        <v>26108.4149</v>
      </c>
      <c r="L23" s="153">
        <f>(Q33+X47)*$L$43</f>
        <v>36998.03357</v>
      </c>
      <c r="M23" s="153">
        <f>(Q34+X48)*$M$43</f>
        <v>48253.33219</v>
      </c>
      <c r="N23" s="153">
        <f>(Q35+X49)*$N$43</f>
        <v>91174.84271</v>
      </c>
      <c r="O23" s="153">
        <f>(Q35+X49)*$O$43</f>
        <v>136081.8548</v>
      </c>
      <c r="P23" s="3"/>
      <c r="Q23" s="174">
        <f>Bajadas!S7</f>
        <v>440752</v>
      </c>
      <c r="R23" s="175" t="s">
        <v>181</v>
      </c>
      <c r="S23" s="32">
        <v>1.0</v>
      </c>
      <c r="T23" s="3" t="s">
        <v>231</v>
      </c>
      <c r="U23" s="3">
        <f t="shared" si="25"/>
        <v>1276</v>
      </c>
      <c r="V23" s="20">
        <v>1.1</v>
      </c>
      <c r="W23" s="186" t="s">
        <v>180</v>
      </c>
      <c r="X23" s="177">
        <f t="shared" si="26"/>
        <v>195.3418482</v>
      </c>
      <c r="Y23" s="177">
        <f t="shared" si="27"/>
        <v>234.4102179</v>
      </c>
      <c r="Z23" s="177">
        <f t="shared" si="28"/>
        <v>281.2922615</v>
      </c>
      <c r="AA23" s="177">
        <f t="shared" si="29"/>
        <v>337.5507137</v>
      </c>
      <c r="AB23" s="178">
        <f t="shared" si="30"/>
        <v>405.0608565</v>
      </c>
      <c r="AC23" s="179">
        <v>291.0</v>
      </c>
      <c r="AE23" s="170">
        <f>Bajadas!S8</f>
        <v>426978.5</v>
      </c>
      <c r="AF23" s="171">
        <f>Bajadas!U8</f>
        <v>1094.64875</v>
      </c>
      <c r="AG23" s="180">
        <f>Bajadas!AT42</f>
        <v>292.5</v>
      </c>
      <c r="AH23" s="173"/>
      <c r="AI23" s="157"/>
    </row>
    <row r="24" ht="23.25" customHeight="1">
      <c r="A24" s="152">
        <v>300.0</v>
      </c>
      <c r="B24" s="153">
        <f>(Q32+AB45)*$B$42</f>
        <v>2042.7043</v>
      </c>
      <c r="C24" s="153">
        <f>(Q33+AB45)*$C$44</f>
        <v>3802.9186</v>
      </c>
      <c r="D24" s="153">
        <f>(Q33+AA46)*$D$44</f>
        <v>5194.649318</v>
      </c>
      <c r="E24" s="153">
        <f>(Q33+Z46)*$E$44</f>
        <v>8215.276136</v>
      </c>
      <c r="F24" s="153">
        <f>(Q33+Z46)*$F$44</f>
        <v>11501.38659</v>
      </c>
      <c r="G24" s="153">
        <f>(Q33+Z47)*$G$44</f>
        <v>17631.13477</v>
      </c>
      <c r="H24" s="153">
        <f>(Q33+Y47)*$H$44</f>
        <v>19965.25845</v>
      </c>
      <c r="I24" s="153">
        <f>(Q33+Y47)*$I$44</f>
        <v>30715.78223</v>
      </c>
      <c r="J24" s="153">
        <f>(Q33+Y47)*$J$44</f>
        <v>38394.72779</v>
      </c>
      <c r="K24" s="153">
        <f>(Q33+Y47)*$J$44</f>
        <v>38394.72779</v>
      </c>
      <c r="L24" s="153">
        <f>(Q34+X48)*$L$44</f>
        <v>53930.1948</v>
      </c>
      <c r="M24" s="153">
        <f>(Q34+X48)*$M$44</f>
        <v>70960.78264</v>
      </c>
      <c r="N24" s="153">
        <f>(Q35+X49)*$N$44</f>
        <v>136081.8548</v>
      </c>
      <c r="O24" s="153">
        <f>(Q36+X49)*$O$44</f>
        <v>198826.0947</v>
      </c>
      <c r="P24" s="3"/>
      <c r="Q24" s="174">
        <f>Bajadas!S8</f>
        <v>426978.5</v>
      </c>
      <c r="R24" s="175" t="s">
        <v>182</v>
      </c>
      <c r="S24" s="32">
        <v>1.0</v>
      </c>
      <c r="T24" s="3" t="s">
        <v>231</v>
      </c>
      <c r="U24" s="3">
        <f t="shared" si="25"/>
        <v>1276</v>
      </c>
      <c r="V24" s="20">
        <v>1.1</v>
      </c>
      <c r="W24" s="186" t="s">
        <v>181</v>
      </c>
      <c r="X24" s="177">
        <f t="shared" si="26"/>
        <v>177.5834984</v>
      </c>
      <c r="Y24" s="177">
        <f t="shared" si="27"/>
        <v>213.1001981</v>
      </c>
      <c r="Z24" s="177">
        <f t="shared" si="28"/>
        <v>255.7202377</v>
      </c>
      <c r="AA24" s="177">
        <f t="shared" si="29"/>
        <v>306.8642852</v>
      </c>
      <c r="AB24" s="178">
        <f t="shared" si="30"/>
        <v>368.2371423</v>
      </c>
      <c r="AC24" s="179">
        <v>264.0</v>
      </c>
      <c r="AE24" s="170">
        <f>Bajadas!S9</f>
        <v>413205</v>
      </c>
      <c r="AF24" s="171">
        <f>Bajadas!U9</f>
        <v>1059.3375</v>
      </c>
      <c r="AG24" s="180">
        <f>Bajadas!AT43</f>
        <v>273</v>
      </c>
      <c r="AH24" s="173"/>
      <c r="AI24" s="157"/>
    </row>
    <row r="25" ht="23.25" customHeight="1">
      <c r="A25" s="152">
        <v>500.0</v>
      </c>
      <c r="B25" s="153">
        <f>(Q32+AB45)*$B$42</f>
        <v>2042.7043</v>
      </c>
      <c r="C25" s="153">
        <f>(Q33+AB45)*$C$45</f>
        <v>3802.9186</v>
      </c>
      <c r="D25" s="153">
        <f>(Q33+AA46)*$D$45</f>
        <v>8657.748864</v>
      </c>
      <c r="E25" s="153">
        <f>(Q33+Z46)*$E$45</f>
        <v>13144.44182</v>
      </c>
      <c r="F25" s="153">
        <f>(Q33+Z47)*$F$45</f>
        <v>19233.96521</v>
      </c>
      <c r="G25" s="153">
        <f>(Q33+Z47)*$G$45</f>
        <v>28850.94781</v>
      </c>
      <c r="H25" s="153">
        <f>(Q33+Y47)*$H$45</f>
        <v>32251.57134</v>
      </c>
      <c r="I25" s="153">
        <f>(Q34+Y48)*$I$45</f>
        <v>49980.15413</v>
      </c>
      <c r="J25" s="153">
        <f>(Q34+Y48)*$J$45</f>
        <v>61740.1904</v>
      </c>
      <c r="K25" s="153">
        <f>(Q34+Y48)*$J$45</f>
        <v>61740.1904</v>
      </c>
      <c r="L25" s="153">
        <f>(Q35+X49)*$L$45</f>
        <v>85731.56852</v>
      </c>
      <c r="M25" s="153">
        <f>(Q35+X49)*$M$45</f>
        <v>114308.758</v>
      </c>
      <c r="N25" s="153">
        <f>(Q36+X49)*$N$45</f>
        <v>221359.7188</v>
      </c>
      <c r="O25" s="153">
        <f>(Q36+X49)*$O$45</f>
        <v>265101.4596</v>
      </c>
      <c r="P25" s="3"/>
      <c r="Q25" s="174">
        <f>Bajadas!S9</f>
        <v>413205</v>
      </c>
      <c r="R25" s="175" t="s">
        <v>18</v>
      </c>
      <c r="S25" s="32">
        <v>1.0</v>
      </c>
      <c r="T25" s="3"/>
      <c r="U25" s="3">
        <f t="shared" si="25"/>
        <v>1276</v>
      </c>
      <c r="V25" s="20">
        <v>1.1</v>
      </c>
      <c r="W25" s="187" t="s">
        <v>210</v>
      </c>
      <c r="X25" s="188">
        <f>X24/V25</f>
        <v>161.439544</v>
      </c>
      <c r="Y25" s="188">
        <f t="shared" si="27"/>
        <v>193.7274528</v>
      </c>
      <c r="Z25" s="188">
        <f t="shared" si="28"/>
        <v>232.4729434</v>
      </c>
      <c r="AA25" s="188">
        <f t="shared" si="29"/>
        <v>278.967532</v>
      </c>
      <c r="AB25" s="189">
        <f t="shared" si="30"/>
        <v>334.7610384</v>
      </c>
      <c r="AC25" s="179">
        <v>240.0</v>
      </c>
      <c r="AE25" s="170">
        <f>Bajadas!S10</f>
        <v>399431.5</v>
      </c>
      <c r="AF25" s="171">
        <f>Bajadas!U10</f>
        <v>1024.02625</v>
      </c>
      <c r="AG25" s="180">
        <f>Bajadas!AT44</f>
        <v>253.5</v>
      </c>
      <c r="AH25" s="173"/>
      <c r="AI25" s="157"/>
    </row>
    <row r="26" ht="23.25" customHeight="1">
      <c r="A26" s="152">
        <v>1000.0</v>
      </c>
      <c r="B26" s="153">
        <f>(Q37+AB45)*$B$42</f>
        <v>1760.2143</v>
      </c>
      <c r="C26" s="153">
        <f>(Q33+AB46)*$C$46</f>
        <v>7350.972909</v>
      </c>
      <c r="D26" s="153">
        <f>(Q33+AA46)*$D$46</f>
        <v>15583.94795</v>
      </c>
      <c r="E26" s="153">
        <f>(Q33+Z47)*$E$46</f>
        <v>24042.45651</v>
      </c>
      <c r="F26" s="153">
        <f>(Q33+Z47)*$F$46</f>
        <v>36865.09998</v>
      </c>
      <c r="G26" s="153">
        <f>(Q34+Z48)*$G$46</f>
        <v>55114.24284</v>
      </c>
      <c r="H26" s="153">
        <f>(Q34+Y48)*$H$46</f>
        <v>61740.1904</v>
      </c>
      <c r="I26" s="153">
        <f>(Q35+Y49)*$I$46</f>
        <v>94268.34725</v>
      </c>
      <c r="J26" s="153">
        <f>(Q35+Y49)*$J$46</f>
        <v>118187.1816</v>
      </c>
      <c r="K26" s="153">
        <f>(Q35+Y49)*$J$46</f>
        <v>118187.1816</v>
      </c>
      <c r="L26" s="153">
        <f>(Q36+X49)*$L$46</f>
        <v>165688.4122</v>
      </c>
      <c r="M26" s="153">
        <f>(Q36+X49)*$M$46</f>
        <v>221359.7188</v>
      </c>
      <c r="N26" s="153">
        <f>(Q37+X49)*$N$46</f>
        <v>430925.48</v>
      </c>
      <c r="O26" s="153">
        <f>(Q37+X49)*$O$46</f>
        <v>645098.024</v>
      </c>
      <c r="P26" s="3"/>
      <c r="Q26" s="174">
        <f>Bajadas!S10</f>
        <v>399431.5</v>
      </c>
      <c r="R26" s="175" t="s">
        <v>19</v>
      </c>
      <c r="S26" s="32">
        <v>1.0</v>
      </c>
      <c r="V26" s="20">
        <v>1.1</v>
      </c>
      <c r="W26" s="3"/>
      <c r="X26" s="3"/>
      <c r="Y26" s="3"/>
      <c r="Z26" s="3"/>
      <c r="AE26" s="190"/>
      <c r="AF26" s="190"/>
      <c r="AG26" s="191"/>
      <c r="AH26" s="164"/>
      <c r="AI26" s="157"/>
    </row>
    <row r="27" ht="23.25" customHeight="1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3"/>
      <c r="Q27" s="174">
        <f>Bajadas!S11</f>
        <v>385658</v>
      </c>
      <c r="R27" s="175">
        <v>1000.0</v>
      </c>
      <c r="S27" s="32"/>
      <c r="T27" s="3"/>
      <c r="U27" s="3"/>
      <c r="V27" s="20"/>
      <c r="W27" s="3"/>
      <c r="X27" s="3"/>
      <c r="Y27" s="3"/>
      <c r="Z27" s="3"/>
      <c r="AA27" s="3"/>
      <c r="AB27" s="3"/>
      <c r="AC27" s="3"/>
      <c r="AD27" s="3"/>
      <c r="AE27" s="32"/>
      <c r="AF27" s="32"/>
      <c r="AG27" s="32"/>
      <c r="AH27" s="164"/>
      <c r="AI27" s="157"/>
    </row>
    <row r="28" ht="23.25" customHeight="1">
      <c r="A28" s="141"/>
      <c r="B28" s="32"/>
      <c r="C28" s="19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"/>
      <c r="P28" s="3"/>
      <c r="S28" s="32">
        <v>1.0</v>
      </c>
      <c r="V28" s="3" t="s">
        <v>231</v>
      </c>
      <c r="W28" s="143" t="s">
        <v>234</v>
      </c>
      <c r="X28" s="144" t="s">
        <v>235</v>
      </c>
      <c r="Y28" s="144" t="s">
        <v>236</v>
      </c>
      <c r="Z28" s="144" t="s">
        <v>237</v>
      </c>
      <c r="AA28" s="144" t="s">
        <v>238</v>
      </c>
      <c r="AB28" s="144" t="s">
        <v>239</v>
      </c>
      <c r="AE28" s="193" t="s">
        <v>243</v>
      </c>
      <c r="AF28" s="194" t="s">
        <v>228</v>
      </c>
      <c r="AG28" s="191" t="s">
        <v>229</v>
      </c>
      <c r="AH28" s="195"/>
      <c r="AI28" s="157"/>
    </row>
    <row r="29" ht="23.25" customHeight="1">
      <c r="A29" s="14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"/>
      <c r="P29" s="32"/>
      <c r="Q29" s="32"/>
      <c r="R29" s="32"/>
      <c r="S29" s="32"/>
      <c r="T29" s="32"/>
      <c r="U29" s="3"/>
      <c r="V29" s="3"/>
      <c r="W29" s="145" t="s">
        <v>199</v>
      </c>
      <c r="X29" s="196">
        <f>X20/U20</f>
        <v>0.2037617555</v>
      </c>
      <c r="Y29" s="196">
        <f>Y20/U20</f>
        <v>0.2445141066</v>
      </c>
      <c r="Z29" s="196">
        <f>Z20/U20</f>
        <v>0.2934169279</v>
      </c>
      <c r="AA29" s="196">
        <f>AA20/U20</f>
        <v>0.3521003135</v>
      </c>
      <c r="AB29" s="196">
        <f>AB20/U20</f>
        <v>0.4225203762</v>
      </c>
      <c r="AE29" s="197">
        <f t="shared" ref="AE29:AE34" si="31">AE19/U20</f>
        <v>410.1826019</v>
      </c>
      <c r="AF29" s="198">
        <f t="shared" ref="AF29:AF34" si="32">AF19/U20</f>
        <v>1.05158895</v>
      </c>
      <c r="AG29" s="199">
        <f t="shared" ref="AG29:AG34" si="33">AG19/U20</f>
        <v>0.2903605016</v>
      </c>
      <c r="AH29" s="195"/>
      <c r="AI29" s="157"/>
    </row>
    <row r="30" ht="23.25" customHeight="1">
      <c r="A30" s="181" t="s">
        <v>242</v>
      </c>
      <c r="B30" s="148" t="s">
        <v>211</v>
      </c>
      <c r="C30" s="148" t="s">
        <v>212</v>
      </c>
      <c r="D30" s="148" t="s">
        <v>213</v>
      </c>
      <c r="E30" s="148" t="s">
        <v>214</v>
      </c>
      <c r="F30" s="148" t="s">
        <v>215</v>
      </c>
      <c r="G30" s="148" t="s">
        <v>216</v>
      </c>
      <c r="H30" s="148" t="s">
        <v>217</v>
      </c>
      <c r="I30" s="148" t="s">
        <v>218</v>
      </c>
      <c r="J30" s="148" t="s">
        <v>219</v>
      </c>
      <c r="K30" s="149" t="s">
        <v>201</v>
      </c>
      <c r="L30" s="150" t="s">
        <v>202</v>
      </c>
      <c r="M30" s="151" t="s">
        <v>203</v>
      </c>
      <c r="N30" s="150" t="s">
        <v>220</v>
      </c>
      <c r="O30" s="150" t="s">
        <v>205</v>
      </c>
      <c r="P30" s="200"/>
      <c r="Q30" s="200" t="str">
        <f>Bajadas!U2</f>
        <v>OPP  blco o blanco</v>
      </c>
      <c r="R30" s="200"/>
      <c r="S30" s="32"/>
      <c r="T30" s="32"/>
      <c r="U30" s="3"/>
      <c r="V30" s="3"/>
      <c r="W30" s="145" t="s">
        <v>206</v>
      </c>
      <c r="X30" s="196">
        <f>X21/U20</f>
        <v>0.1852379595</v>
      </c>
      <c r="Y30" s="196">
        <f>Y21/U20</f>
        <v>0.2222855514</v>
      </c>
      <c r="Z30" s="196">
        <f>Z21/U20</f>
        <v>0.2667426617</v>
      </c>
      <c r="AA30" s="196">
        <f>AA21/U20</f>
        <v>0.3200911941</v>
      </c>
      <c r="AB30" s="196">
        <f>AB21/U20</f>
        <v>0.3841094329</v>
      </c>
      <c r="AE30" s="199">
        <f t="shared" si="31"/>
        <v>367.0054859</v>
      </c>
      <c r="AF30" s="201">
        <f t="shared" si="32"/>
        <v>0.9408953762</v>
      </c>
      <c r="AG30" s="199">
        <f t="shared" si="33"/>
        <v>0.2750783699</v>
      </c>
      <c r="AH30" s="195"/>
      <c r="AI30" s="157"/>
    </row>
    <row r="31" ht="23.25" customHeight="1">
      <c r="A31" s="152">
        <v>100.0</v>
      </c>
      <c r="B31" s="153">
        <f>B23+(T32*B59)</f>
        <v>2178.967004</v>
      </c>
      <c r="C31" s="153">
        <f>C23+(T32*C59)</f>
        <v>2178.967004</v>
      </c>
      <c r="D31" s="153">
        <f>D22+(T32*D59)</f>
        <v>2062.154204</v>
      </c>
      <c r="E31" s="153">
        <f t="shared" ref="E31:E32" si="34">E22+(T32*E59)</f>
        <v>3929.620409</v>
      </c>
      <c r="F31" s="153">
        <f>F22+(T33*F59)</f>
        <v>5307.294687</v>
      </c>
      <c r="G31" s="153">
        <f>G22+(T33*G59)</f>
        <v>7076.392916</v>
      </c>
      <c r="H31" s="153">
        <f>H22+(T33*H59)</f>
        <v>8476.763872</v>
      </c>
      <c r="I31" s="153">
        <f>I22+(T33*I59)</f>
        <v>11867.46942</v>
      </c>
      <c r="J31" s="153">
        <f>J22+(T33*J59)</f>
        <v>15258.17497</v>
      </c>
      <c r="K31" s="153">
        <f>K22+(T33*K59)</f>
        <v>15258.17497</v>
      </c>
      <c r="L31" s="153">
        <f>L22+(T33*L59)</f>
        <v>20877.53648</v>
      </c>
      <c r="M31" s="153">
        <f>M22+(T33*M59)</f>
        <v>27301.39386</v>
      </c>
      <c r="N31" s="153">
        <f t="shared" ref="N31:N32" si="35">N22+(T33*N59)</f>
        <v>52538.79425</v>
      </c>
      <c r="O31" s="153">
        <f t="shared" ref="O31:O35" si="36">O22+(T33*O59)</f>
        <v>68435.12022</v>
      </c>
      <c r="P31" s="32"/>
      <c r="Q31" s="200"/>
      <c r="S31" s="122"/>
      <c r="T31" s="122" t="s">
        <v>244</v>
      </c>
      <c r="U31" s="3"/>
      <c r="V31" s="3"/>
      <c r="W31" s="154" t="s">
        <v>207</v>
      </c>
      <c r="X31" s="196">
        <f>X22/U20</f>
        <v>0.168398145</v>
      </c>
      <c r="Y31" s="196">
        <f>Y22/U20</f>
        <v>0.202077774</v>
      </c>
      <c r="Z31" s="196">
        <f>Z22/U20</f>
        <v>0.2424933288</v>
      </c>
      <c r="AA31" s="196">
        <f>AA22/U20</f>
        <v>0.2909919946</v>
      </c>
      <c r="AB31" s="196">
        <f>AB22/U20</f>
        <v>0.3491903935</v>
      </c>
      <c r="AE31" s="199">
        <f t="shared" si="31"/>
        <v>356.2112069</v>
      </c>
      <c r="AF31" s="201">
        <f t="shared" si="32"/>
        <v>0.9132219828</v>
      </c>
      <c r="AG31" s="199">
        <f t="shared" si="33"/>
        <v>0.2597962382</v>
      </c>
      <c r="AH31" s="195"/>
      <c r="AI31" s="157"/>
    </row>
    <row r="32" ht="23.25" customHeight="1">
      <c r="A32" s="152">
        <v>200.0</v>
      </c>
      <c r="B32" s="153">
        <f>B24+(T32*B60)</f>
        <v>2178.967004</v>
      </c>
      <c r="C32" s="153">
        <f t="shared" ref="C32:C33" si="37">C23+(T32*C60)</f>
        <v>2178.967004</v>
      </c>
      <c r="D32" s="153">
        <f t="shared" ref="D32:D33" si="38">D23+(T32*D60)</f>
        <v>4124.308409</v>
      </c>
      <c r="E32" s="153">
        <f t="shared" si="34"/>
        <v>5307.294687</v>
      </c>
      <c r="F32" s="153">
        <f>F23+(T33*F60)</f>
        <v>8845.491144</v>
      </c>
      <c r="G32" s="153">
        <f>G23+(T33*G60)</f>
        <v>14152.78583</v>
      </c>
      <c r="H32" s="153">
        <f>H23+(T33*H60)</f>
        <v>15258.17497</v>
      </c>
      <c r="I32" s="153">
        <f>I23+(T33*I60)</f>
        <v>23265.64958</v>
      </c>
      <c r="J32" s="153">
        <f>J23+(T33*J60)</f>
        <v>28251.14592</v>
      </c>
      <c r="K32" s="153">
        <f>K23+(T33*K60)</f>
        <v>28251.14592</v>
      </c>
      <c r="L32" s="153">
        <f>L23+(T33*L60)</f>
        <v>40149.10861</v>
      </c>
      <c r="M32" s="153">
        <f>M23+(T33*M60)</f>
        <v>52538.79425</v>
      </c>
      <c r="N32" s="153">
        <f t="shared" si="35"/>
        <v>98935.00373</v>
      </c>
      <c r="O32" s="153">
        <f t="shared" si="36"/>
        <v>147664.1847</v>
      </c>
      <c r="P32" s="32"/>
      <c r="Q32" s="202">
        <f>Bajadas!U4</f>
        <v>1341.8275</v>
      </c>
      <c r="R32" s="175">
        <v>1.0</v>
      </c>
      <c r="S32" s="158" t="s">
        <v>185</v>
      </c>
      <c r="T32" s="138">
        <f>Laminado!E7</f>
        <v>136.2627045</v>
      </c>
      <c r="U32" s="3"/>
      <c r="V32" s="3"/>
      <c r="W32" s="154" t="s">
        <v>180</v>
      </c>
      <c r="X32" s="196">
        <f>X23/U20</f>
        <v>0.1530892228</v>
      </c>
      <c r="Y32" s="196">
        <f>Y23/U20</f>
        <v>0.1837070673</v>
      </c>
      <c r="Z32" s="196">
        <f>Z23/U20</f>
        <v>0.2204484808</v>
      </c>
      <c r="AA32" s="196">
        <f>AA23/U20</f>
        <v>0.2645381769</v>
      </c>
      <c r="AB32" s="196">
        <f>AB23/U20</f>
        <v>0.3174458123</v>
      </c>
      <c r="AE32" s="199">
        <f t="shared" si="31"/>
        <v>345.4169279</v>
      </c>
      <c r="AF32" s="201">
        <f t="shared" si="32"/>
        <v>0.8855485893</v>
      </c>
      <c r="AG32" s="199">
        <f t="shared" si="33"/>
        <v>0.2445141066</v>
      </c>
      <c r="AH32" s="195"/>
      <c r="AI32" s="157"/>
    </row>
    <row r="33" ht="23.25" customHeight="1">
      <c r="A33" s="152">
        <v>300.0</v>
      </c>
      <c r="B33" s="153">
        <f>B25+(T32*B61)</f>
        <v>2178.967004</v>
      </c>
      <c r="C33" s="153">
        <f t="shared" si="37"/>
        <v>4055.004603</v>
      </c>
      <c r="D33" s="153">
        <f t="shared" si="38"/>
        <v>5572.778323</v>
      </c>
      <c r="E33" s="153">
        <f>E24+(T33*E61)</f>
        <v>8845.491144</v>
      </c>
      <c r="F33" s="153">
        <f>F24+(T33*F61)</f>
        <v>12383.6876</v>
      </c>
      <c r="G33" s="153">
        <f>G24+(T33*G61)</f>
        <v>19017.60779</v>
      </c>
      <c r="H33" s="153">
        <f>H24+(T33*H61)</f>
        <v>21603.81747</v>
      </c>
      <c r="I33" s="153">
        <f>I24+(T33*I61)</f>
        <v>33236.64226</v>
      </c>
      <c r="J33" s="153">
        <f>J24+(T33*J61)</f>
        <v>41545.80283</v>
      </c>
      <c r="K33" s="153">
        <f>K24+(T33*K61)</f>
        <v>41545.80283</v>
      </c>
      <c r="L33" s="153">
        <f>L24+(T33*L61)</f>
        <v>58719.82886</v>
      </c>
      <c r="M33" s="153">
        <f t="shared" ref="M33:M35" si="39">M24+(T33*M61)</f>
        <v>77262.93272</v>
      </c>
      <c r="N33" s="153">
        <f t="shared" ref="N33:N35" si="40">N24+(T34*N61)</f>
        <v>147664.1847</v>
      </c>
      <c r="O33" s="153">
        <f t="shared" si="36"/>
        <v>214666.6341</v>
      </c>
      <c r="P33" s="32"/>
      <c r="Q33" s="202">
        <f>Bajadas!U5</f>
        <v>1200.5825</v>
      </c>
      <c r="R33" s="175" t="s">
        <v>179</v>
      </c>
      <c r="S33" s="158" t="s">
        <v>186</v>
      </c>
      <c r="T33" s="138">
        <f>Laminado!E8</f>
        <v>126.0430016</v>
      </c>
      <c r="U33" s="3"/>
      <c r="V33" s="3"/>
      <c r="W33" s="154" t="s">
        <v>181</v>
      </c>
      <c r="X33" s="196">
        <f t="shared" ref="X33:X34" si="41">X24/U20</f>
        <v>0.1391720207</v>
      </c>
      <c r="Y33" s="196">
        <f t="shared" ref="Y33:Y34" si="42">Y24/U20</f>
        <v>0.1670064248</v>
      </c>
      <c r="Z33" s="196">
        <f t="shared" ref="Z33:Z34" si="43">Z24/U20</f>
        <v>0.2004077098</v>
      </c>
      <c r="AA33" s="196">
        <f t="shared" ref="AA33:AA34" si="44">AA24/U20</f>
        <v>0.2404892517</v>
      </c>
      <c r="AB33" s="196">
        <f t="shared" ref="AB33:AB34" si="45">AB24/U20</f>
        <v>0.2885871021</v>
      </c>
      <c r="AE33" s="199">
        <f t="shared" si="31"/>
        <v>334.6226489</v>
      </c>
      <c r="AF33" s="201">
        <f t="shared" si="32"/>
        <v>0.8578751959</v>
      </c>
      <c r="AG33" s="199">
        <f t="shared" si="33"/>
        <v>0.2292319749</v>
      </c>
      <c r="AH33" s="195"/>
      <c r="AI33" s="157"/>
    </row>
    <row r="34" ht="23.25" customHeight="1">
      <c r="A34" s="152">
        <v>500.0</v>
      </c>
      <c r="B34" s="153">
        <f>B25+(T32*B62)</f>
        <v>2178.967004</v>
      </c>
      <c r="C34" s="153">
        <f>C25+(T33*C62)</f>
        <v>4055.004603</v>
      </c>
      <c r="D34" s="153">
        <f>D25+(T33*D62)</f>
        <v>9287.963872</v>
      </c>
      <c r="E34" s="153">
        <f>E25+(T33*E62)</f>
        <v>14152.78583</v>
      </c>
      <c r="F34" s="153">
        <f>F25+(T33*F62)</f>
        <v>20746.48123</v>
      </c>
      <c r="G34" s="153">
        <f>G25+(T33*G62)</f>
        <v>31119.72184</v>
      </c>
      <c r="H34" s="153">
        <f>H25+(T33*H62)</f>
        <v>34898.47438</v>
      </c>
      <c r="I34" s="153">
        <f t="shared" ref="I34:I35" si="46">I25+(T33*I62)</f>
        <v>54265.61619</v>
      </c>
      <c r="J34" s="153">
        <f t="shared" ref="J34:J35" si="47">J25+(T33*J62)</f>
        <v>67033.99646</v>
      </c>
      <c r="K34" s="153">
        <f t="shared" ref="K34:K35" si="48">K25+(T33*K62)</f>
        <v>67033.99646</v>
      </c>
      <c r="L34" s="153">
        <f>L25+(T33*L62)</f>
        <v>93672.27762</v>
      </c>
      <c r="M34" s="153">
        <f t="shared" si="39"/>
        <v>124037.9151</v>
      </c>
      <c r="N34" s="153">
        <f t="shared" si="40"/>
        <v>238995.5193</v>
      </c>
      <c r="O34" s="153">
        <f t="shared" si="36"/>
        <v>284859.5517</v>
      </c>
      <c r="P34" s="32"/>
      <c r="Q34" s="202">
        <f>Bajadas!U6</f>
        <v>1165.27125</v>
      </c>
      <c r="R34" s="175" t="s">
        <v>180</v>
      </c>
      <c r="S34" s="158" t="s">
        <v>181</v>
      </c>
      <c r="T34" s="138">
        <f>Laminado!E9</f>
        <v>115.8232988</v>
      </c>
      <c r="U34" s="3"/>
      <c r="V34" s="3"/>
      <c r="W34" s="154" t="s">
        <v>210</v>
      </c>
      <c r="X34" s="196">
        <f t="shared" si="41"/>
        <v>0.1265200188</v>
      </c>
      <c r="Y34" s="196">
        <f t="shared" si="42"/>
        <v>0.1518240226</v>
      </c>
      <c r="Z34" s="196">
        <f t="shared" si="43"/>
        <v>0.1821888271</v>
      </c>
      <c r="AA34" s="196">
        <f t="shared" si="44"/>
        <v>0.2186265925</v>
      </c>
      <c r="AB34" s="196">
        <f t="shared" si="45"/>
        <v>0.262351911</v>
      </c>
      <c r="AC34" s="203">
        <v>0.2529</v>
      </c>
      <c r="AE34" s="199">
        <f t="shared" si="31"/>
        <v>323.8283699</v>
      </c>
      <c r="AF34" s="201">
        <f t="shared" si="32"/>
        <v>0.8302018025</v>
      </c>
      <c r="AG34" s="199">
        <f t="shared" si="33"/>
        <v>0.2139498433</v>
      </c>
      <c r="AH34" s="204">
        <v>0.88</v>
      </c>
      <c r="AI34" s="157"/>
    </row>
    <row r="35" ht="23.25" customHeight="1">
      <c r="A35" s="152">
        <v>1000.0</v>
      </c>
      <c r="B35" s="153">
        <f>B26+(T32*B63)</f>
        <v>1896.477004</v>
      </c>
      <c r="C35" s="153">
        <f>C26+(T33*C63)</f>
        <v>7855.144916</v>
      </c>
      <c r="D35" s="153">
        <f>D26+(T33*D63)</f>
        <v>16592.29197</v>
      </c>
      <c r="E35" s="153">
        <f>E26+(T33*E63)</f>
        <v>25933.10153</v>
      </c>
      <c r="F35" s="153">
        <f>F26+(T33*F63)</f>
        <v>39764.08902</v>
      </c>
      <c r="G35" s="153">
        <f>G26+(T33*G63)</f>
        <v>59651.79089</v>
      </c>
      <c r="H35" s="153">
        <f>H26+(T33*H63)</f>
        <v>67033.99646</v>
      </c>
      <c r="I35" s="153">
        <f t="shared" si="46"/>
        <v>102028.5083</v>
      </c>
      <c r="J35" s="153">
        <f t="shared" si="47"/>
        <v>127916.3387</v>
      </c>
      <c r="K35" s="153">
        <f t="shared" si="48"/>
        <v>127916.3387</v>
      </c>
      <c r="L35" s="153">
        <f>L26+(T35*L63)</f>
        <v>178888.8617</v>
      </c>
      <c r="M35" s="153">
        <f t="shared" si="39"/>
        <v>238995.5193</v>
      </c>
      <c r="N35" s="153">
        <f t="shared" si="40"/>
        <v>463921.4939</v>
      </c>
      <c r="O35" s="153">
        <f t="shared" si="36"/>
        <v>691086.6867</v>
      </c>
      <c r="P35" s="32"/>
      <c r="Q35" s="202">
        <f>Bajadas!U7</f>
        <v>1129.96</v>
      </c>
      <c r="R35" s="175" t="s">
        <v>181</v>
      </c>
      <c r="S35" s="158">
        <v>100.0</v>
      </c>
      <c r="T35" s="138">
        <f>Laminado!E10</f>
        <v>105.603596</v>
      </c>
      <c r="U35" s="3"/>
      <c r="V35" s="3"/>
      <c r="W35" s="3"/>
      <c r="X35" s="3"/>
      <c r="Y35" s="3"/>
      <c r="Z35" s="3"/>
      <c r="AE35" s="205"/>
      <c r="AF35" s="205"/>
      <c r="AG35" s="191"/>
      <c r="AH35" s="164"/>
      <c r="AI35" s="157"/>
    </row>
    <row r="36" ht="23.25" customHeight="1">
      <c r="A36" s="140"/>
      <c r="L36" s="32"/>
      <c r="M36" s="3"/>
      <c r="N36" s="3"/>
      <c r="P36" s="32"/>
      <c r="Q36" s="202">
        <f>Bajadas!U8</f>
        <v>1094.64875</v>
      </c>
      <c r="R36" s="175" t="s">
        <v>182</v>
      </c>
      <c r="S36" s="32"/>
      <c r="T36" s="138">
        <f>Laminado!E11</f>
        <v>98.79046073</v>
      </c>
      <c r="U36" s="3"/>
      <c r="V36" s="3"/>
      <c r="W36" s="3"/>
      <c r="X36" s="3"/>
      <c r="Y36" s="3"/>
      <c r="Z36" s="3"/>
      <c r="AE36" s="32"/>
      <c r="AF36" s="32"/>
      <c r="AG36" s="32"/>
      <c r="AH36" s="195"/>
      <c r="AI36" s="157"/>
    </row>
    <row r="37" ht="23.25" customHeight="1">
      <c r="A37" s="140"/>
      <c r="B37" s="3"/>
      <c r="C37" s="3"/>
      <c r="D37" s="3"/>
      <c r="E37" s="3"/>
      <c r="F37" s="3"/>
      <c r="G37" s="3"/>
      <c r="H37" s="3"/>
      <c r="I37" s="3"/>
      <c r="J37" s="3"/>
      <c r="K37" s="3"/>
      <c r="L37" s="32"/>
      <c r="M37" s="3"/>
      <c r="N37" s="3"/>
      <c r="O37" s="3"/>
      <c r="P37" s="3"/>
      <c r="Q37" s="202">
        <f>Bajadas!U9</f>
        <v>1059.3375</v>
      </c>
      <c r="R37" s="175" t="s">
        <v>18</v>
      </c>
      <c r="S37" s="3"/>
      <c r="T37" s="138">
        <f>Laminado!E12</f>
        <v>91.97732551</v>
      </c>
      <c r="U37" s="3"/>
      <c r="V37" s="3"/>
      <c r="W37" s="3"/>
      <c r="X37" s="3"/>
      <c r="Y37" s="3"/>
      <c r="Z37" s="3"/>
      <c r="AE37" s="32"/>
      <c r="AF37" s="32"/>
      <c r="AG37" s="32"/>
      <c r="AH37" s="195"/>
      <c r="AI37" s="157"/>
    </row>
    <row r="38" ht="23.25" customHeight="1">
      <c r="A38" s="140"/>
      <c r="B38" s="3"/>
      <c r="C38" s="3"/>
      <c r="D38" s="3"/>
      <c r="E38" s="3"/>
      <c r="F38" s="3"/>
      <c r="G38" s="3"/>
      <c r="H38" s="3"/>
      <c r="I38" s="3"/>
      <c r="J38" s="3"/>
      <c r="K38" s="3"/>
      <c r="L38" s="32"/>
      <c r="M38" s="3"/>
      <c r="N38" s="3"/>
      <c r="O38" s="3"/>
      <c r="P38" s="3"/>
      <c r="Q38" s="202">
        <f>Bajadas!U10</f>
        <v>1024.02625</v>
      </c>
      <c r="R38" s="175" t="s">
        <v>19</v>
      </c>
      <c r="S38" s="3"/>
      <c r="T38" s="138">
        <f>Laminado!E13</f>
        <v>85.16419028</v>
      </c>
      <c r="U38" s="3"/>
      <c r="V38" s="3"/>
      <c r="W38" s="3"/>
      <c r="X38" s="3"/>
      <c r="Y38" s="3"/>
      <c r="Z38" s="3"/>
      <c r="AE38" s="32"/>
      <c r="AF38" s="32"/>
      <c r="AG38" s="32"/>
      <c r="AH38" s="195"/>
      <c r="AI38" s="157"/>
    </row>
    <row r="39" ht="23.25" customHeight="1">
      <c r="A39" s="140"/>
      <c r="L39" s="32"/>
      <c r="M39" s="3"/>
      <c r="N39" s="3"/>
      <c r="P39" s="3"/>
      <c r="Q39" s="202">
        <f>Bajadas!U11</f>
        <v>988.715</v>
      </c>
      <c r="R39" s="175">
        <v>1000.0</v>
      </c>
      <c r="AE39" s="32"/>
      <c r="AF39" s="32"/>
      <c r="AG39" s="32"/>
      <c r="AH39" s="195"/>
      <c r="AI39" s="157"/>
    </row>
    <row r="40" ht="23.25" customHeight="1">
      <c r="A40" s="141"/>
      <c r="B40" s="32">
        <v>1204.0</v>
      </c>
      <c r="C40" s="32">
        <v>294.0</v>
      </c>
      <c r="D40" s="32">
        <v>117.0</v>
      </c>
      <c r="E40" s="32">
        <v>70.0</v>
      </c>
      <c r="F40" s="32">
        <v>45.0</v>
      </c>
      <c r="G40" s="32">
        <v>28.0</v>
      </c>
      <c r="H40" s="32">
        <v>24.0</v>
      </c>
      <c r="I40" s="32">
        <v>15.0</v>
      </c>
      <c r="J40" s="32">
        <v>12.0</v>
      </c>
      <c r="K40" s="32">
        <v>12.0</v>
      </c>
      <c r="L40" s="32">
        <v>8.0</v>
      </c>
      <c r="M40" s="32">
        <v>6.0</v>
      </c>
      <c r="N40" s="32">
        <v>3.0</v>
      </c>
      <c r="O40" s="32">
        <v>2.0</v>
      </c>
      <c r="P40" s="3"/>
      <c r="Q40" s="32" t="str">
        <f>Bajadas!U12</f>
        <v/>
      </c>
      <c r="S40" s="206"/>
      <c r="T40" s="206"/>
      <c r="AE40" s="32"/>
      <c r="AF40" s="32"/>
      <c r="AG40" s="32"/>
      <c r="AH40" s="195"/>
      <c r="AI40" s="157"/>
    </row>
    <row r="41" ht="23.25" customHeight="1">
      <c r="A41" s="207"/>
      <c r="B41" s="122" t="s">
        <v>165</v>
      </c>
      <c r="C41" s="122" t="s">
        <v>166</v>
      </c>
      <c r="D41" s="122" t="s">
        <v>167</v>
      </c>
      <c r="E41" s="122" t="s">
        <v>168</v>
      </c>
      <c r="F41" s="122" t="s">
        <v>169</v>
      </c>
      <c r="G41" s="122" t="s">
        <v>170</v>
      </c>
      <c r="H41" s="122" t="s">
        <v>171</v>
      </c>
      <c r="I41" s="122" t="s">
        <v>172</v>
      </c>
      <c r="J41" s="122" t="s">
        <v>173</v>
      </c>
      <c r="K41" s="122">
        <v>10.0</v>
      </c>
      <c r="L41" s="122">
        <v>11.0</v>
      </c>
      <c r="M41" s="208" t="s">
        <v>245</v>
      </c>
      <c r="N41" s="122" t="s">
        <v>204</v>
      </c>
      <c r="O41" s="122" t="s">
        <v>246</v>
      </c>
      <c r="P41" s="3"/>
      <c r="S41" s="200"/>
      <c r="T41" s="200" t="s">
        <v>244</v>
      </c>
      <c r="AE41" s="32"/>
      <c r="AF41" s="32"/>
      <c r="AG41" s="32"/>
      <c r="AH41" s="195"/>
      <c r="AI41" s="157"/>
    </row>
    <row r="42" ht="23.25" customHeight="1">
      <c r="A42" s="209">
        <v>100.0</v>
      </c>
      <c r="B42" s="32">
        <v>1.0</v>
      </c>
      <c r="C42" s="32">
        <v>1.0</v>
      </c>
      <c r="D42" s="32">
        <v>1.0</v>
      </c>
      <c r="E42" s="32">
        <v>2.0</v>
      </c>
      <c r="F42" s="32">
        <v>3.0</v>
      </c>
      <c r="G42" s="32">
        <v>4.0</v>
      </c>
      <c r="H42" s="32">
        <v>5.0</v>
      </c>
      <c r="I42" s="32">
        <v>7.0</v>
      </c>
      <c r="J42" s="32">
        <v>9.0</v>
      </c>
      <c r="K42" s="32">
        <v>9.0</v>
      </c>
      <c r="L42" s="32">
        <v>13.0</v>
      </c>
      <c r="M42" s="32">
        <v>17.0</v>
      </c>
      <c r="N42" s="32">
        <v>34.0</v>
      </c>
      <c r="O42" s="32">
        <v>50.0</v>
      </c>
      <c r="P42" s="3"/>
      <c r="S42" s="200" t="s">
        <v>185</v>
      </c>
      <c r="T42" s="202">
        <f t="shared" ref="T42:T45" si="49">T32</f>
        <v>136.2627045</v>
      </c>
      <c r="AE42" s="32"/>
      <c r="AF42" s="32"/>
      <c r="AG42" s="32"/>
    </row>
    <row r="43" ht="23.25" customHeight="1">
      <c r="A43" s="209">
        <v>200.0</v>
      </c>
      <c r="B43" s="32">
        <v>1.0</v>
      </c>
      <c r="C43" s="32">
        <v>1.0</v>
      </c>
      <c r="D43" s="32">
        <v>2.0</v>
      </c>
      <c r="E43" s="32">
        <v>3.0</v>
      </c>
      <c r="F43" s="32">
        <v>5.0</v>
      </c>
      <c r="G43" s="32">
        <v>8.0</v>
      </c>
      <c r="H43" s="32">
        <v>9.0</v>
      </c>
      <c r="I43" s="32">
        <v>14.0</v>
      </c>
      <c r="J43" s="32">
        <v>17.0</v>
      </c>
      <c r="K43" s="32">
        <v>17.0</v>
      </c>
      <c r="L43" s="32">
        <v>25.0</v>
      </c>
      <c r="M43" s="32">
        <v>34.0</v>
      </c>
      <c r="N43" s="32">
        <v>67.0</v>
      </c>
      <c r="O43" s="32">
        <v>100.0</v>
      </c>
      <c r="P43" s="3"/>
      <c r="S43" s="200" t="s">
        <v>186</v>
      </c>
      <c r="T43" s="202">
        <f t="shared" si="49"/>
        <v>126.0430016</v>
      </c>
      <c r="W43" s="3">
        <v>1.3</v>
      </c>
      <c r="X43" s="3">
        <v>1.3</v>
      </c>
      <c r="Y43" s="3">
        <v>1.3</v>
      </c>
      <c r="Z43" s="3">
        <v>1.3</v>
      </c>
      <c r="AA43" s="3">
        <v>1.3</v>
      </c>
      <c r="AB43" s="3">
        <v>1.3</v>
      </c>
      <c r="AE43" s="32"/>
      <c r="AF43" s="32"/>
      <c r="AG43" s="32"/>
    </row>
    <row r="44" ht="23.25" customHeight="1">
      <c r="A44" s="209">
        <v>300.0</v>
      </c>
      <c r="B44" s="32">
        <v>1.0</v>
      </c>
      <c r="C44" s="32">
        <v>2.0</v>
      </c>
      <c r="D44" s="32">
        <v>3.0</v>
      </c>
      <c r="E44" s="32">
        <v>5.0</v>
      </c>
      <c r="F44" s="32">
        <v>7.0</v>
      </c>
      <c r="G44" s="32">
        <v>11.0</v>
      </c>
      <c r="H44" s="32">
        <v>13.0</v>
      </c>
      <c r="I44" s="32">
        <v>20.0</v>
      </c>
      <c r="J44" s="32">
        <v>25.0</v>
      </c>
      <c r="K44" s="32">
        <v>25.0</v>
      </c>
      <c r="L44" s="32">
        <v>38.0</v>
      </c>
      <c r="M44" s="32">
        <v>50.0</v>
      </c>
      <c r="N44" s="32">
        <v>100.0</v>
      </c>
      <c r="O44" s="32">
        <v>150.0</v>
      </c>
      <c r="P44" s="3"/>
      <c r="S44" s="200" t="s">
        <v>181</v>
      </c>
      <c r="T44" s="202">
        <f t="shared" si="49"/>
        <v>115.8232988</v>
      </c>
      <c r="U44" s="3" t="s">
        <v>232</v>
      </c>
      <c r="V44" s="3" t="s">
        <v>247</v>
      </c>
      <c r="W44" s="143"/>
      <c r="X44" s="144" t="s">
        <v>193</v>
      </c>
      <c r="Y44" s="144" t="s">
        <v>194</v>
      </c>
      <c r="Z44" s="144" t="s">
        <v>195</v>
      </c>
      <c r="AA44" s="144" t="s">
        <v>196</v>
      </c>
      <c r="AB44" s="144" t="s">
        <v>197</v>
      </c>
      <c r="AE44" s="32"/>
      <c r="AF44" s="32"/>
      <c r="AG44" s="32"/>
    </row>
    <row r="45" ht="23.25" customHeight="1">
      <c r="A45" s="209">
        <v>500.0</v>
      </c>
      <c r="B45" s="32">
        <v>1.0</v>
      </c>
      <c r="C45" s="32">
        <v>2.0</v>
      </c>
      <c r="D45" s="32">
        <v>5.0</v>
      </c>
      <c r="E45" s="32">
        <v>8.0</v>
      </c>
      <c r="F45" s="32">
        <v>12.0</v>
      </c>
      <c r="G45" s="32">
        <v>18.0</v>
      </c>
      <c r="H45" s="32">
        <v>21.0</v>
      </c>
      <c r="I45" s="32">
        <v>34.0</v>
      </c>
      <c r="J45" s="32">
        <v>42.0</v>
      </c>
      <c r="K45" s="32">
        <v>42.0</v>
      </c>
      <c r="L45" s="32">
        <v>63.0</v>
      </c>
      <c r="M45" s="32">
        <v>84.0</v>
      </c>
      <c r="N45" s="32">
        <v>167.0</v>
      </c>
      <c r="O45" s="32">
        <v>200.0</v>
      </c>
      <c r="P45" s="3"/>
      <c r="S45" s="200">
        <v>100.0</v>
      </c>
      <c r="T45" s="202">
        <f t="shared" si="49"/>
        <v>105.603596</v>
      </c>
      <c r="V45" s="3">
        <v>1.3</v>
      </c>
      <c r="W45" s="145" t="s">
        <v>199</v>
      </c>
      <c r="X45" s="177">
        <f t="shared" ref="X45:AB45" si="50">X20*W43</f>
        <v>338</v>
      </c>
      <c r="Y45" s="177">
        <f t="shared" si="50"/>
        <v>405.6</v>
      </c>
      <c r="Z45" s="177">
        <f t="shared" si="50"/>
        <v>486.72</v>
      </c>
      <c r="AA45" s="177">
        <f t="shared" si="50"/>
        <v>584.064</v>
      </c>
      <c r="AB45" s="177">
        <f t="shared" si="50"/>
        <v>700.8768</v>
      </c>
      <c r="AE45" s="32"/>
      <c r="AF45" s="32"/>
      <c r="AG45" s="32"/>
    </row>
    <row r="46" ht="23.25" customHeight="1">
      <c r="A46" s="209">
        <v>1000.0</v>
      </c>
      <c r="B46" s="32">
        <v>1.0</v>
      </c>
      <c r="C46" s="32">
        <v>4.0</v>
      </c>
      <c r="D46" s="32">
        <v>9.0</v>
      </c>
      <c r="E46" s="32">
        <v>15.0</v>
      </c>
      <c r="F46" s="32">
        <v>23.0</v>
      </c>
      <c r="G46" s="32">
        <v>36.0</v>
      </c>
      <c r="H46" s="32">
        <v>42.0</v>
      </c>
      <c r="I46" s="32">
        <v>67.0</v>
      </c>
      <c r="J46" s="32">
        <v>84.0</v>
      </c>
      <c r="K46" s="32">
        <v>84.0</v>
      </c>
      <c r="L46" s="32">
        <v>125.0</v>
      </c>
      <c r="M46" s="32">
        <v>167.0</v>
      </c>
      <c r="N46" s="32">
        <v>334.0</v>
      </c>
      <c r="O46" s="32">
        <v>500.0</v>
      </c>
      <c r="P46" s="3"/>
      <c r="W46" s="145" t="s">
        <v>206</v>
      </c>
      <c r="X46" s="177">
        <f t="shared" ref="X46:AB46" si="51">X21*W43</f>
        <v>307.2727273</v>
      </c>
      <c r="Y46" s="177">
        <f t="shared" si="51"/>
        <v>368.7272727</v>
      </c>
      <c r="Z46" s="177">
        <f t="shared" si="51"/>
        <v>442.4727273</v>
      </c>
      <c r="AA46" s="177">
        <f t="shared" si="51"/>
        <v>530.9672727</v>
      </c>
      <c r="AB46" s="177">
        <f t="shared" si="51"/>
        <v>637.1607273</v>
      </c>
      <c r="AE46" s="32"/>
      <c r="AF46" s="32"/>
      <c r="AG46" s="32"/>
    </row>
    <row r="47" ht="23.25" customHeight="1">
      <c r="A47" s="140"/>
      <c r="L47" s="32"/>
      <c r="M47" s="3"/>
      <c r="N47" s="3"/>
      <c r="P47" s="3"/>
      <c r="W47" s="154" t="s">
        <v>207</v>
      </c>
      <c r="X47" s="177">
        <f t="shared" ref="X47:AB47" si="52">X22*W43</f>
        <v>279.338843</v>
      </c>
      <c r="Y47" s="177">
        <f t="shared" si="52"/>
        <v>335.2066116</v>
      </c>
      <c r="Z47" s="177">
        <f t="shared" si="52"/>
        <v>402.2479339</v>
      </c>
      <c r="AA47" s="177">
        <f t="shared" si="52"/>
        <v>482.6975207</v>
      </c>
      <c r="AB47" s="177">
        <f t="shared" si="52"/>
        <v>579.2370248</v>
      </c>
      <c r="AE47" s="193" t="s">
        <v>243</v>
      </c>
      <c r="AF47" s="194" t="s">
        <v>228</v>
      </c>
      <c r="AG47" s="191" t="s">
        <v>229</v>
      </c>
    </row>
    <row r="48" ht="23.25" customHeight="1">
      <c r="A48" s="140"/>
      <c r="L48" s="32"/>
      <c r="M48" s="3"/>
      <c r="N48" s="3"/>
      <c r="P48" s="3"/>
      <c r="Q48" s="210"/>
      <c r="R48" s="210"/>
      <c r="S48" s="210"/>
      <c r="T48" s="210"/>
      <c r="U48" s="210"/>
      <c r="W48" s="154" t="s">
        <v>180</v>
      </c>
      <c r="X48" s="177">
        <f t="shared" ref="X48:AB48" si="53">X23*W43</f>
        <v>253.9444027</v>
      </c>
      <c r="Y48" s="177">
        <f t="shared" si="53"/>
        <v>304.7332832</v>
      </c>
      <c r="Z48" s="177">
        <f t="shared" si="53"/>
        <v>365.6799399</v>
      </c>
      <c r="AA48" s="177">
        <f t="shared" si="53"/>
        <v>438.8159279</v>
      </c>
      <c r="AB48" s="177">
        <f t="shared" si="53"/>
        <v>526.5791134</v>
      </c>
      <c r="AE48" s="172">
        <f t="shared" ref="AE48:AE54" si="55">AE29*U53</f>
        <v>4101826.019</v>
      </c>
      <c r="AF48" s="172">
        <f t="shared" ref="AF48:AF53" si="56">AF29*U53</f>
        <v>10515.8895</v>
      </c>
      <c r="AG48" s="172">
        <f t="shared" ref="AG48:AG54" si="57">AG29*U53</f>
        <v>2903.605016</v>
      </c>
    </row>
    <row r="49" ht="23.25" customHeight="1">
      <c r="A49" s="140"/>
      <c r="L49" s="32"/>
      <c r="M49" s="3"/>
      <c r="N49" s="3"/>
      <c r="P49" s="211"/>
      <c r="Q49" s="212"/>
      <c r="R49" s="212"/>
      <c r="S49" s="212"/>
      <c r="T49" s="212"/>
      <c r="U49" s="212"/>
      <c r="W49" s="154" t="s">
        <v>181</v>
      </c>
      <c r="X49" s="177">
        <f t="shared" ref="X49:AB49" si="54">X24*W43</f>
        <v>230.8585479</v>
      </c>
      <c r="Y49" s="177">
        <f t="shared" si="54"/>
        <v>277.0302575</v>
      </c>
      <c r="Z49" s="177">
        <f t="shared" si="54"/>
        <v>332.436309</v>
      </c>
      <c r="AA49" s="177">
        <f t="shared" si="54"/>
        <v>398.9235708</v>
      </c>
      <c r="AB49" s="177">
        <f t="shared" si="54"/>
        <v>478.708285</v>
      </c>
      <c r="AE49" s="172">
        <f t="shared" si="55"/>
        <v>3670054.859</v>
      </c>
      <c r="AF49" s="172">
        <f t="shared" si="56"/>
        <v>9408.953762</v>
      </c>
      <c r="AG49" s="172">
        <f t="shared" si="57"/>
        <v>2750.783699</v>
      </c>
    </row>
    <row r="50" ht="23.25" customHeight="1">
      <c r="A50" s="140"/>
      <c r="L50" s="32"/>
      <c r="M50" s="3"/>
      <c r="N50" s="3"/>
      <c r="P50" s="213"/>
      <c r="Q50" s="214"/>
      <c r="R50" s="214"/>
      <c r="S50" s="214"/>
      <c r="T50" s="214"/>
      <c r="U50" s="214"/>
      <c r="W50" s="154" t="s">
        <v>210</v>
      </c>
      <c r="X50" s="177">
        <f t="shared" ref="X50:AB50" si="58">X25*W43</f>
        <v>209.8714072</v>
      </c>
      <c r="Y50" s="177">
        <f t="shared" si="58"/>
        <v>251.8456886</v>
      </c>
      <c r="Z50" s="177">
        <f t="shared" si="58"/>
        <v>302.2148264</v>
      </c>
      <c r="AA50" s="177">
        <f t="shared" si="58"/>
        <v>362.6577916</v>
      </c>
      <c r="AB50" s="177">
        <f t="shared" si="58"/>
        <v>435.18935</v>
      </c>
      <c r="AC50" s="140">
        <v>420.0</v>
      </c>
      <c r="AE50" s="172">
        <f t="shared" si="55"/>
        <v>3562112.069</v>
      </c>
      <c r="AF50" s="172">
        <f t="shared" si="56"/>
        <v>9132.219828</v>
      </c>
      <c r="AG50" s="172">
        <f t="shared" si="57"/>
        <v>2597.962382</v>
      </c>
    </row>
    <row r="51" ht="23.25" customHeight="1">
      <c r="A51" s="140"/>
      <c r="L51" s="32"/>
      <c r="M51" s="3"/>
      <c r="N51" s="3"/>
      <c r="P51" s="213"/>
      <c r="Q51" s="214"/>
      <c r="R51" s="214"/>
      <c r="S51" s="214"/>
      <c r="T51" s="214" t="s">
        <v>248</v>
      </c>
      <c r="U51" s="214" t="s">
        <v>249</v>
      </c>
      <c r="W51" s="3"/>
      <c r="X51" s="3"/>
      <c r="Y51" s="3"/>
      <c r="Z51" s="3"/>
      <c r="AA51" s="3"/>
      <c r="AB51" s="3"/>
      <c r="AE51" s="172">
        <f t="shared" si="55"/>
        <v>3454169.279</v>
      </c>
      <c r="AF51" s="172">
        <f t="shared" si="56"/>
        <v>8855.485893</v>
      </c>
      <c r="AG51" s="172">
        <f t="shared" si="57"/>
        <v>2445.141066</v>
      </c>
    </row>
    <row r="52" ht="23.25" customHeight="1">
      <c r="A52" s="140"/>
      <c r="L52" s="32"/>
      <c r="M52" s="3"/>
      <c r="N52" s="3"/>
      <c r="P52" s="215"/>
      <c r="Q52" s="214"/>
      <c r="R52" s="214"/>
      <c r="S52" s="214"/>
      <c r="T52" s="3" t="s">
        <v>250</v>
      </c>
      <c r="U52" s="3">
        <v>100.0</v>
      </c>
      <c r="V52" s="3">
        <v>100.0</v>
      </c>
      <c r="W52" s="143"/>
      <c r="X52" s="144" t="s">
        <v>193</v>
      </c>
      <c r="Y52" s="144" t="s">
        <v>194</v>
      </c>
      <c r="Z52" s="144" t="s">
        <v>195</v>
      </c>
      <c r="AA52" s="144" t="s">
        <v>196</v>
      </c>
      <c r="AB52" s="144" t="s">
        <v>197</v>
      </c>
      <c r="AE52" s="172">
        <f t="shared" si="55"/>
        <v>3346226.489</v>
      </c>
      <c r="AF52" s="172">
        <f t="shared" si="56"/>
        <v>8578.751959</v>
      </c>
      <c r="AG52" s="172">
        <f t="shared" si="57"/>
        <v>2292.319749</v>
      </c>
    </row>
    <row r="53" ht="23.25" customHeight="1">
      <c r="A53" s="140"/>
      <c r="L53" s="32"/>
      <c r="M53" s="3"/>
      <c r="N53" s="3"/>
      <c r="P53" s="215"/>
      <c r="Q53" s="214"/>
      <c r="R53" s="214"/>
      <c r="S53" s="214"/>
      <c r="T53" s="3" t="s">
        <v>231</v>
      </c>
      <c r="U53" s="3">
        <f>U52*V52</f>
        <v>10000</v>
      </c>
      <c r="V53" s="3" t="s">
        <v>231</v>
      </c>
      <c r="W53" s="216" t="s">
        <v>199</v>
      </c>
      <c r="X53" s="217">
        <f t="shared" ref="X53:AB53" si="59">X29*X43</f>
        <v>0.2648902821</v>
      </c>
      <c r="Y53" s="217">
        <f t="shared" si="59"/>
        <v>0.3178683386</v>
      </c>
      <c r="Z53" s="217">
        <f t="shared" si="59"/>
        <v>0.3814420063</v>
      </c>
      <c r="AA53" s="217">
        <f t="shared" si="59"/>
        <v>0.4577304075</v>
      </c>
      <c r="AB53" s="217">
        <f t="shared" si="59"/>
        <v>0.549276489</v>
      </c>
      <c r="AE53" s="172">
        <f t="shared" si="55"/>
        <v>3238283.699</v>
      </c>
      <c r="AF53" s="172">
        <f t="shared" si="56"/>
        <v>8302.018025</v>
      </c>
      <c r="AG53" s="172">
        <f t="shared" si="57"/>
        <v>2139.498433</v>
      </c>
    </row>
    <row r="54" ht="23.25" customHeight="1">
      <c r="A54" s="140"/>
      <c r="L54" s="32"/>
      <c r="M54" s="3"/>
      <c r="N54" s="3"/>
      <c r="P54" s="215"/>
      <c r="Q54" s="214"/>
      <c r="R54" s="214"/>
      <c r="S54" s="214"/>
      <c r="T54" s="3" t="s">
        <v>231</v>
      </c>
      <c r="U54" s="218">
        <f t="shared" ref="U54:U58" si="61">U53</f>
        <v>10000</v>
      </c>
      <c r="V54" s="3"/>
      <c r="W54" s="216" t="s">
        <v>206</v>
      </c>
      <c r="X54" s="217">
        <f t="shared" ref="X54:AB54" si="60">X30*X43</f>
        <v>0.2408093474</v>
      </c>
      <c r="Y54" s="217">
        <f t="shared" si="60"/>
        <v>0.2889712169</v>
      </c>
      <c r="Z54" s="217">
        <f t="shared" si="60"/>
        <v>0.3467654602</v>
      </c>
      <c r="AA54" s="217">
        <f t="shared" si="60"/>
        <v>0.4161185523</v>
      </c>
      <c r="AB54" s="217">
        <f t="shared" si="60"/>
        <v>0.4993422628</v>
      </c>
      <c r="AE54" s="172">
        <f t="shared" si="55"/>
        <v>0</v>
      </c>
      <c r="AF54" s="219"/>
      <c r="AG54" s="172">
        <f t="shared" si="57"/>
        <v>0</v>
      </c>
      <c r="AH54" s="203">
        <v>88209.0</v>
      </c>
    </row>
    <row r="55" ht="23.25" customHeight="1">
      <c r="A55" s="140"/>
      <c r="L55" s="32"/>
      <c r="M55" s="3"/>
      <c r="N55" s="3"/>
      <c r="P55" s="215"/>
      <c r="Q55" s="214"/>
      <c r="R55" s="214"/>
      <c r="S55" s="214"/>
      <c r="T55" s="3" t="s">
        <v>231</v>
      </c>
      <c r="U55" s="218">
        <f t="shared" si="61"/>
        <v>10000</v>
      </c>
      <c r="V55" s="3"/>
      <c r="W55" s="220" t="s">
        <v>207</v>
      </c>
      <c r="X55" s="217">
        <f t="shared" ref="X55:AB55" si="62">X31*X43</f>
        <v>0.2189175885</v>
      </c>
      <c r="Y55" s="217">
        <f t="shared" si="62"/>
        <v>0.2627011062</v>
      </c>
      <c r="Z55" s="217">
        <f t="shared" si="62"/>
        <v>0.3152413275</v>
      </c>
      <c r="AA55" s="217">
        <f t="shared" si="62"/>
        <v>0.378289593</v>
      </c>
      <c r="AB55" s="217">
        <f t="shared" si="62"/>
        <v>0.4539475116</v>
      </c>
      <c r="AE55" s="221"/>
      <c r="AF55" s="221"/>
      <c r="AG55" s="221"/>
    </row>
    <row r="56" ht="23.25" customHeight="1">
      <c r="A56" s="140"/>
      <c r="L56" s="32"/>
      <c r="M56" s="3"/>
      <c r="N56" s="3"/>
      <c r="P56" s="3"/>
      <c r="T56" s="3" t="s">
        <v>231</v>
      </c>
      <c r="U56" s="218">
        <f t="shared" si="61"/>
        <v>10000</v>
      </c>
      <c r="V56" s="3"/>
      <c r="W56" s="220" t="s">
        <v>180</v>
      </c>
      <c r="X56" s="217">
        <f t="shared" ref="X56:AB56" si="63">X32*X43</f>
        <v>0.1990159896</v>
      </c>
      <c r="Y56" s="217">
        <f t="shared" si="63"/>
        <v>0.2388191875</v>
      </c>
      <c r="Z56" s="217">
        <f t="shared" si="63"/>
        <v>0.286583025</v>
      </c>
      <c r="AA56" s="217">
        <f t="shared" si="63"/>
        <v>0.34389963</v>
      </c>
      <c r="AB56" s="217">
        <f t="shared" si="63"/>
        <v>0.412679556</v>
      </c>
      <c r="AE56" s="32"/>
      <c r="AF56" s="32"/>
      <c r="AG56" s="32"/>
    </row>
    <row r="57" ht="23.25" customHeight="1">
      <c r="A57" s="222"/>
      <c r="B57" s="200">
        <v>1204.0</v>
      </c>
      <c r="C57" s="200">
        <v>260.0</v>
      </c>
      <c r="D57" s="200">
        <v>117.0</v>
      </c>
      <c r="E57" s="200">
        <v>70.0</v>
      </c>
      <c r="F57" s="200">
        <v>45.0</v>
      </c>
      <c r="G57" s="200">
        <v>28.0</v>
      </c>
      <c r="H57" s="200">
        <v>24.0</v>
      </c>
      <c r="I57" s="200">
        <v>15.0</v>
      </c>
      <c r="J57" s="200">
        <v>12.0</v>
      </c>
      <c r="K57" s="200">
        <v>12.0</v>
      </c>
      <c r="L57" s="200">
        <v>8.0</v>
      </c>
      <c r="M57" s="200">
        <v>6.0</v>
      </c>
      <c r="N57" s="200">
        <v>3.0</v>
      </c>
      <c r="O57" s="200">
        <v>2.0</v>
      </c>
      <c r="P57" s="3"/>
      <c r="T57" s="3" t="s">
        <v>231</v>
      </c>
      <c r="U57" s="218">
        <f t="shared" si="61"/>
        <v>10000</v>
      </c>
      <c r="V57" s="3"/>
      <c r="W57" s="220" t="s">
        <v>181</v>
      </c>
      <c r="X57" s="217">
        <f t="shared" ref="X57:AB57" si="64">X33*X43</f>
        <v>0.1809236269</v>
      </c>
      <c r="Y57" s="217">
        <f t="shared" si="64"/>
        <v>0.2171083523</v>
      </c>
      <c r="Z57" s="217">
        <f t="shared" si="64"/>
        <v>0.2605300227</v>
      </c>
      <c r="AA57" s="217">
        <f t="shared" si="64"/>
        <v>0.3126360273</v>
      </c>
      <c r="AB57" s="217">
        <f t="shared" si="64"/>
        <v>0.3751632327</v>
      </c>
      <c r="AE57" s="32"/>
      <c r="AF57" s="32"/>
      <c r="AG57" s="32"/>
    </row>
    <row r="58" ht="23.25" customHeight="1">
      <c r="A58" s="222"/>
      <c r="B58" s="200" t="s">
        <v>165</v>
      </c>
      <c r="C58" s="200" t="s">
        <v>166</v>
      </c>
      <c r="D58" s="200" t="s">
        <v>167</v>
      </c>
      <c r="E58" s="200" t="s">
        <v>168</v>
      </c>
      <c r="F58" s="200" t="s">
        <v>169</v>
      </c>
      <c r="G58" s="200" t="s">
        <v>170</v>
      </c>
      <c r="H58" s="200" t="s">
        <v>171</v>
      </c>
      <c r="I58" s="200" t="s">
        <v>172</v>
      </c>
      <c r="J58" s="200" t="s">
        <v>173</v>
      </c>
      <c r="K58" s="200">
        <v>10.0</v>
      </c>
      <c r="L58" s="200">
        <v>11.0</v>
      </c>
      <c r="M58" s="223" t="s">
        <v>245</v>
      </c>
      <c r="N58" s="200" t="s">
        <v>204</v>
      </c>
      <c r="O58" s="200" t="s">
        <v>246</v>
      </c>
      <c r="P58" s="3"/>
      <c r="T58" s="3" t="s">
        <v>231</v>
      </c>
      <c r="U58" s="218">
        <f t="shared" si="61"/>
        <v>10000</v>
      </c>
      <c r="V58" s="3"/>
      <c r="W58" s="220" t="s">
        <v>210</v>
      </c>
      <c r="X58" s="217"/>
      <c r="Y58" s="217"/>
      <c r="Z58" s="217"/>
      <c r="AA58" s="217"/>
      <c r="AB58" s="217"/>
      <c r="AC58" s="224">
        <v>0.328</v>
      </c>
      <c r="AE58" s="32"/>
      <c r="AF58" s="32"/>
      <c r="AG58" s="32"/>
    </row>
    <row r="59" ht="23.25" customHeight="1">
      <c r="A59" s="222">
        <v>100.0</v>
      </c>
      <c r="B59" s="200">
        <v>1.0</v>
      </c>
      <c r="C59" s="200">
        <v>1.0</v>
      </c>
      <c r="D59" s="200">
        <v>1.0</v>
      </c>
      <c r="E59" s="200">
        <v>2.0</v>
      </c>
      <c r="F59" s="200">
        <v>3.0</v>
      </c>
      <c r="G59" s="200">
        <v>4.0</v>
      </c>
      <c r="H59" s="200">
        <v>5.0</v>
      </c>
      <c r="I59" s="200">
        <v>7.0</v>
      </c>
      <c r="J59" s="200">
        <v>9.0</v>
      </c>
      <c r="K59" s="200">
        <v>9.0</v>
      </c>
      <c r="L59" s="200">
        <v>13.0</v>
      </c>
      <c r="M59" s="200">
        <v>17.0</v>
      </c>
      <c r="N59" s="200">
        <v>34.0</v>
      </c>
      <c r="O59" s="200">
        <v>50.0</v>
      </c>
      <c r="P59" s="3"/>
      <c r="AE59" s="32"/>
      <c r="AF59" s="32"/>
      <c r="AG59" s="32"/>
    </row>
    <row r="60" ht="23.25" customHeight="1">
      <c r="A60" s="222">
        <v>200.0</v>
      </c>
      <c r="B60" s="200">
        <v>1.0</v>
      </c>
      <c r="C60" s="200">
        <v>1.0</v>
      </c>
      <c r="D60" s="200">
        <v>2.0</v>
      </c>
      <c r="E60" s="200">
        <v>3.0</v>
      </c>
      <c r="F60" s="200">
        <v>5.0</v>
      </c>
      <c r="G60" s="200">
        <v>8.0</v>
      </c>
      <c r="H60" s="200">
        <v>9.0</v>
      </c>
      <c r="I60" s="200">
        <v>14.0</v>
      </c>
      <c r="J60" s="200">
        <v>17.0</v>
      </c>
      <c r="K60" s="200">
        <v>17.0</v>
      </c>
      <c r="L60" s="200">
        <v>25.0</v>
      </c>
      <c r="M60" s="200">
        <v>34.0</v>
      </c>
      <c r="N60" s="200">
        <v>67.0</v>
      </c>
      <c r="O60" s="200">
        <v>100.0</v>
      </c>
      <c r="P60" s="3"/>
      <c r="AE60" s="32"/>
      <c r="AF60" s="32"/>
      <c r="AG60" s="32"/>
    </row>
    <row r="61" ht="23.25" customHeight="1">
      <c r="A61" s="222">
        <v>300.0</v>
      </c>
      <c r="B61" s="200">
        <v>1.0</v>
      </c>
      <c r="C61" s="200">
        <v>2.0</v>
      </c>
      <c r="D61" s="200">
        <v>3.0</v>
      </c>
      <c r="E61" s="200">
        <v>5.0</v>
      </c>
      <c r="F61" s="200">
        <v>7.0</v>
      </c>
      <c r="G61" s="200">
        <v>11.0</v>
      </c>
      <c r="H61" s="200">
        <v>13.0</v>
      </c>
      <c r="I61" s="200">
        <v>20.0</v>
      </c>
      <c r="J61" s="200">
        <v>25.0</v>
      </c>
      <c r="K61" s="200">
        <v>25.0</v>
      </c>
      <c r="L61" s="200">
        <v>38.0</v>
      </c>
      <c r="M61" s="200">
        <v>50.0</v>
      </c>
      <c r="N61" s="200">
        <v>100.0</v>
      </c>
      <c r="O61" s="200">
        <v>150.0</v>
      </c>
      <c r="P61" s="3"/>
      <c r="AE61" s="32"/>
      <c r="AF61" s="32"/>
      <c r="AG61" s="32"/>
    </row>
    <row r="62" ht="23.25" customHeight="1">
      <c r="A62" s="222">
        <v>500.0</v>
      </c>
      <c r="B62" s="200">
        <v>1.0</v>
      </c>
      <c r="C62" s="200">
        <v>2.0</v>
      </c>
      <c r="D62" s="200">
        <v>5.0</v>
      </c>
      <c r="E62" s="200">
        <v>8.0</v>
      </c>
      <c r="F62" s="200">
        <v>12.0</v>
      </c>
      <c r="G62" s="200">
        <v>18.0</v>
      </c>
      <c r="H62" s="200">
        <v>21.0</v>
      </c>
      <c r="I62" s="200">
        <v>34.0</v>
      </c>
      <c r="J62" s="200">
        <v>42.0</v>
      </c>
      <c r="K62" s="200">
        <v>42.0</v>
      </c>
      <c r="L62" s="200">
        <v>63.0</v>
      </c>
      <c r="M62" s="200">
        <v>84.0</v>
      </c>
      <c r="N62" s="200">
        <v>167.0</v>
      </c>
      <c r="O62" s="200">
        <v>200.0</v>
      </c>
      <c r="P62" s="3"/>
      <c r="V62" s="3" t="s">
        <v>251</v>
      </c>
      <c r="W62" s="143"/>
      <c r="X62" s="144" t="s">
        <v>193</v>
      </c>
      <c r="Y62" s="144" t="s">
        <v>194</v>
      </c>
      <c r="Z62" s="144" t="s">
        <v>195</v>
      </c>
      <c r="AA62" s="144" t="s">
        <v>196</v>
      </c>
      <c r="AB62" s="144" t="s">
        <v>197</v>
      </c>
      <c r="AE62" s="32"/>
      <c r="AF62" s="32"/>
      <c r="AG62" s="32"/>
    </row>
    <row r="63" ht="23.25" customHeight="1">
      <c r="A63" s="222">
        <v>1000.0</v>
      </c>
      <c r="B63" s="200">
        <v>1.0</v>
      </c>
      <c r="C63" s="200">
        <v>4.0</v>
      </c>
      <c r="D63" s="200">
        <v>8.0</v>
      </c>
      <c r="E63" s="200">
        <v>15.0</v>
      </c>
      <c r="F63" s="200">
        <v>23.0</v>
      </c>
      <c r="G63" s="200">
        <v>36.0</v>
      </c>
      <c r="H63" s="200">
        <v>42.0</v>
      </c>
      <c r="I63" s="200">
        <v>67.0</v>
      </c>
      <c r="J63" s="200">
        <v>84.0</v>
      </c>
      <c r="K63" s="200">
        <v>84.0</v>
      </c>
      <c r="L63" s="200">
        <v>125.0</v>
      </c>
      <c r="M63" s="200">
        <v>167.0</v>
      </c>
      <c r="N63" s="200">
        <v>334.0</v>
      </c>
      <c r="O63" s="200">
        <v>500.0</v>
      </c>
      <c r="P63" s="3"/>
      <c r="V63" s="3" t="s">
        <v>251</v>
      </c>
      <c r="W63" s="216" t="s">
        <v>199</v>
      </c>
      <c r="X63" s="225">
        <f t="shared" ref="X63:X67" si="65">X53*U53</f>
        <v>2648.902821</v>
      </c>
      <c r="Y63" s="225">
        <f t="shared" ref="Y63:Y67" si="66">Y53*U53</f>
        <v>3178.683386</v>
      </c>
      <c r="Z63" s="225">
        <f t="shared" ref="Z63:Z67" si="67">Z53*U53</f>
        <v>3814.420063</v>
      </c>
      <c r="AA63" s="225">
        <f t="shared" ref="AA63:AA67" si="68">AA53*U53</f>
        <v>4577.304075</v>
      </c>
      <c r="AB63" s="225">
        <f t="shared" ref="AB63:AB67" si="69">AB53*U53</f>
        <v>5492.76489</v>
      </c>
      <c r="AE63" s="32"/>
      <c r="AF63" s="32"/>
      <c r="AG63" s="32"/>
    </row>
    <row r="64" ht="23.25" customHeight="1">
      <c r="A64" s="140"/>
      <c r="L64" s="32"/>
      <c r="M64" s="3"/>
      <c r="N64" s="3"/>
      <c r="P64" s="3"/>
      <c r="V64" s="3" t="s">
        <v>251</v>
      </c>
      <c r="W64" s="216" t="s">
        <v>206</v>
      </c>
      <c r="X64" s="225">
        <f t="shared" si="65"/>
        <v>2408.093474</v>
      </c>
      <c r="Y64" s="225">
        <f t="shared" si="66"/>
        <v>2889.712169</v>
      </c>
      <c r="Z64" s="225">
        <f t="shared" si="67"/>
        <v>3467.654602</v>
      </c>
      <c r="AA64" s="225">
        <f t="shared" si="68"/>
        <v>4161.185523</v>
      </c>
      <c r="AB64" s="225">
        <f t="shared" si="69"/>
        <v>4993.422628</v>
      </c>
      <c r="AE64" s="32"/>
      <c r="AF64" s="32"/>
      <c r="AG64" s="32"/>
    </row>
    <row r="65" ht="23.25" customHeight="1">
      <c r="A65" s="140"/>
      <c r="L65" s="32"/>
      <c r="M65" s="3"/>
      <c r="N65" s="3"/>
      <c r="P65" s="3"/>
      <c r="V65" s="3" t="s">
        <v>251</v>
      </c>
      <c r="W65" s="220" t="s">
        <v>207</v>
      </c>
      <c r="X65" s="225">
        <f t="shared" si="65"/>
        <v>2189.175885</v>
      </c>
      <c r="Y65" s="225">
        <f t="shared" si="66"/>
        <v>2627.011062</v>
      </c>
      <c r="Z65" s="225">
        <f t="shared" si="67"/>
        <v>3152.413275</v>
      </c>
      <c r="AA65" s="225">
        <f t="shared" si="68"/>
        <v>3782.89593</v>
      </c>
      <c r="AB65" s="225">
        <f t="shared" si="69"/>
        <v>4539.475116</v>
      </c>
      <c r="AE65" s="32"/>
      <c r="AF65" s="32"/>
      <c r="AG65" s="32"/>
    </row>
    <row r="66" ht="23.25" customHeight="1">
      <c r="A66" s="140"/>
      <c r="L66" s="32"/>
      <c r="M66" s="3"/>
      <c r="N66" s="3"/>
      <c r="P66" s="3"/>
      <c r="V66" s="3" t="s">
        <v>251</v>
      </c>
      <c r="W66" s="220" t="s">
        <v>180</v>
      </c>
      <c r="X66" s="225">
        <f t="shared" si="65"/>
        <v>1990.159896</v>
      </c>
      <c r="Y66" s="225">
        <f t="shared" si="66"/>
        <v>2388.191875</v>
      </c>
      <c r="Z66" s="225">
        <f t="shared" si="67"/>
        <v>2865.83025</v>
      </c>
      <c r="AA66" s="225">
        <f t="shared" si="68"/>
        <v>3438.9963</v>
      </c>
      <c r="AB66" s="225">
        <f t="shared" si="69"/>
        <v>4126.79556</v>
      </c>
      <c r="AE66" s="32"/>
      <c r="AF66" s="32"/>
      <c r="AG66" s="32"/>
    </row>
    <row r="67" ht="23.25" customHeight="1">
      <c r="A67" s="140"/>
      <c r="L67" s="32"/>
      <c r="M67" s="3"/>
      <c r="N67" s="3"/>
      <c r="P67" s="3"/>
      <c r="V67" s="3" t="s">
        <v>251</v>
      </c>
      <c r="W67" s="220" t="s">
        <v>181</v>
      </c>
      <c r="X67" s="225">
        <f t="shared" si="65"/>
        <v>1809.236269</v>
      </c>
      <c r="Y67" s="225">
        <f t="shared" si="66"/>
        <v>2171.083523</v>
      </c>
      <c r="Z67" s="225">
        <f t="shared" si="67"/>
        <v>2605.300227</v>
      </c>
      <c r="AA67" s="225">
        <f t="shared" si="68"/>
        <v>3126.360273</v>
      </c>
      <c r="AB67" s="225">
        <f t="shared" si="69"/>
        <v>3751.632327</v>
      </c>
      <c r="AE67" s="32"/>
      <c r="AF67" s="32"/>
      <c r="AG67" s="32"/>
    </row>
    <row r="68" ht="23.25" customHeight="1">
      <c r="A68" s="140"/>
      <c r="L68" s="32"/>
      <c r="M68" s="3"/>
      <c r="N68" s="3"/>
      <c r="P68" s="3"/>
      <c r="W68" s="220" t="s">
        <v>210</v>
      </c>
      <c r="X68" s="217"/>
      <c r="Y68" s="217"/>
      <c r="Z68" s="217"/>
      <c r="AA68" s="217"/>
      <c r="AB68" s="217"/>
      <c r="AC68" s="140">
        <v>3287.0</v>
      </c>
      <c r="AE68" s="32"/>
      <c r="AF68" s="32"/>
      <c r="AG68" s="32"/>
    </row>
    <row r="69" ht="23.25" customHeight="1">
      <c r="A69" s="140"/>
      <c r="L69" s="32"/>
      <c r="M69" s="3"/>
      <c r="N69" s="3"/>
      <c r="P69" s="3"/>
      <c r="AE69" s="32"/>
      <c r="AF69" s="32"/>
      <c r="AG69" s="32"/>
    </row>
    <row r="70" ht="23.25" customHeight="1">
      <c r="A70" s="140"/>
      <c r="L70" s="32"/>
      <c r="M70" s="3"/>
      <c r="N70" s="3"/>
      <c r="P70" s="3"/>
      <c r="AE70" s="32"/>
      <c r="AF70" s="32"/>
      <c r="AG70" s="32"/>
    </row>
    <row r="71" ht="23.25" customHeight="1">
      <c r="A71" s="140"/>
      <c r="L71" s="32"/>
      <c r="M71" s="3"/>
      <c r="N71" s="3"/>
      <c r="P71" s="3"/>
      <c r="V71" s="3" t="s">
        <v>252</v>
      </c>
      <c r="W71" s="3" t="s">
        <v>253</v>
      </c>
      <c r="X71" s="3" t="s">
        <v>254</v>
      </c>
      <c r="Y71" s="3" t="s">
        <v>234</v>
      </c>
      <c r="Z71" s="3" t="s">
        <v>255</v>
      </c>
      <c r="AA71" s="3" t="s">
        <v>256</v>
      </c>
      <c r="AB71" s="3" t="s">
        <v>257</v>
      </c>
      <c r="AC71" s="3" t="s">
        <v>258</v>
      </c>
      <c r="AE71" s="32"/>
      <c r="AF71" s="32"/>
      <c r="AG71" s="32"/>
    </row>
    <row r="72" ht="23.25" customHeight="1">
      <c r="A72" s="140"/>
      <c r="L72" s="32"/>
      <c r="M72" s="3"/>
      <c r="N72" s="3"/>
      <c r="P72" s="3"/>
      <c r="V72" s="226">
        <v>10.0</v>
      </c>
      <c r="W72" s="226">
        <v>10.0</v>
      </c>
      <c r="X72" s="226">
        <v>0.88</v>
      </c>
      <c r="Y72" s="226">
        <v>0.328</v>
      </c>
      <c r="Z72" s="226"/>
      <c r="AA72" s="226"/>
      <c r="AB72" s="226">
        <v>100.0</v>
      </c>
      <c r="AC72" s="227">
        <f>V72*W72*X72+Y72*AB72</f>
        <v>120.8</v>
      </c>
      <c r="AE72" s="32"/>
      <c r="AF72" s="32"/>
      <c r="AG72" s="32"/>
    </row>
    <row r="73" ht="23.25" customHeight="1">
      <c r="A73" s="140"/>
      <c r="L73" s="32"/>
      <c r="M73" s="3"/>
      <c r="N73" s="3"/>
      <c r="P73" s="3"/>
      <c r="AE73" s="32"/>
      <c r="AF73" s="32"/>
      <c r="AG73" s="32"/>
    </row>
    <row r="74" ht="23.25" customHeight="1">
      <c r="A74" s="140"/>
      <c r="L74" s="32"/>
      <c r="M74" s="3"/>
      <c r="N74" s="3"/>
      <c r="P74" s="3"/>
      <c r="AE74" s="32"/>
      <c r="AF74" s="32"/>
      <c r="AG74" s="32"/>
    </row>
    <row r="75" ht="23.25" customHeight="1">
      <c r="A75" s="140"/>
      <c r="L75" s="32"/>
      <c r="M75" s="3"/>
      <c r="N75" s="3"/>
      <c r="P75" s="3"/>
      <c r="AE75" s="32"/>
      <c r="AF75" s="32"/>
      <c r="AG75" s="32"/>
    </row>
    <row r="76" ht="23.25" customHeight="1">
      <c r="A76" s="140"/>
      <c r="L76" s="32"/>
      <c r="M76" s="3"/>
      <c r="N76" s="3"/>
      <c r="P76" s="3"/>
      <c r="AE76" s="32"/>
      <c r="AF76" s="32"/>
      <c r="AG76" s="32"/>
    </row>
    <row r="77" ht="23.25" customHeight="1">
      <c r="A77" s="140"/>
      <c r="L77" s="32"/>
      <c r="M77" s="3"/>
      <c r="N77" s="3"/>
      <c r="P77" s="3"/>
      <c r="AE77" s="32"/>
      <c r="AF77" s="32"/>
      <c r="AG77" s="32"/>
    </row>
    <row r="78" ht="23.25" customHeight="1">
      <c r="A78" s="140"/>
      <c r="L78" s="32"/>
      <c r="M78" s="3"/>
      <c r="N78" s="3"/>
      <c r="P78" s="3"/>
      <c r="AE78" s="32"/>
      <c r="AF78" s="32"/>
      <c r="AG78" s="32"/>
    </row>
    <row r="79" ht="23.25" customHeight="1">
      <c r="A79" s="140"/>
      <c r="L79" s="32"/>
      <c r="M79" s="3"/>
      <c r="N79" s="3"/>
      <c r="P79" s="3"/>
      <c r="AE79" s="32"/>
      <c r="AF79" s="32"/>
      <c r="AG79" s="32"/>
    </row>
    <row r="80" ht="23.25" customHeight="1">
      <c r="A80" s="140"/>
      <c r="L80" s="32"/>
      <c r="M80" s="3"/>
      <c r="N80" s="3"/>
      <c r="P80" s="3"/>
      <c r="AE80" s="32"/>
      <c r="AF80" s="32"/>
      <c r="AG80" s="32"/>
    </row>
    <row r="81" ht="23.25" customHeight="1">
      <c r="A81" s="140"/>
      <c r="L81" s="32"/>
      <c r="M81" s="3"/>
      <c r="N81" s="3"/>
      <c r="P81" s="3"/>
      <c r="AE81" s="32"/>
      <c r="AF81" s="32"/>
      <c r="AG81" s="32"/>
    </row>
    <row r="82" ht="23.25" customHeight="1">
      <c r="A82" s="140"/>
      <c r="L82" s="32"/>
      <c r="M82" s="3"/>
      <c r="N82" s="3"/>
      <c r="P82" s="3"/>
      <c r="AE82" s="32"/>
      <c r="AF82" s="32"/>
      <c r="AG82" s="32"/>
    </row>
    <row r="83" ht="23.25" customHeight="1">
      <c r="A83" s="140"/>
      <c r="L83" s="32"/>
      <c r="M83" s="3"/>
      <c r="N83" s="3"/>
      <c r="P83" s="3"/>
      <c r="AE83" s="32"/>
      <c r="AF83" s="32"/>
      <c r="AG83" s="32"/>
    </row>
    <row r="84" ht="23.25" customHeight="1">
      <c r="A84" s="140"/>
      <c r="L84" s="32"/>
      <c r="M84" s="3"/>
      <c r="N84" s="3"/>
      <c r="P84" s="3"/>
      <c r="AE84" s="32"/>
      <c r="AF84" s="32"/>
      <c r="AG84" s="32"/>
    </row>
    <row r="85" ht="23.25" customHeight="1">
      <c r="A85" s="140"/>
      <c r="L85" s="32"/>
      <c r="M85" s="3"/>
      <c r="N85" s="3"/>
      <c r="P85" s="3"/>
      <c r="AE85" s="32"/>
      <c r="AF85" s="32"/>
      <c r="AG85" s="32"/>
    </row>
    <row r="86" ht="23.25" customHeight="1">
      <c r="A86" s="140"/>
      <c r="L86" s="32"/>
      <c r="M86" s="3"/>
      <c r="N86" s="3"/>
      <c r="P86" s="3"/>
      <c r="AE86" s="32"/>
      <c r="AF86" s="32"/>
      <c r="AG86" s="32"/>
    </row>
    <row r="87" ht="23.25" customHeight="1">
      <c r="A87" s="140"/>
      <c r="L87" s="32"/>
      <c r="M87" s="3"/>
      <c r="N87" s="3"/>
      <c r="P87" s="3"/>
      <c r="AE87" s="32"/>
      <c r="AF87" s="32"/>
      <c r="AG87" s="32"/>
    </row>
    <row r="88" ht="23.25" customHeight="1">
      <c r="A88" s="140"/>
      <c r="L88" s="32"/>
      <c r="M88" s="3"/>
      <c r="N88" s="3"/>
      <c r="P88" s="3"/>
      <c r="AE88" s="32"/>
      <c r="AF88" s="32"/>
      <c r="AG88" s="32"/>
    </row>
    <row r="89" ht="23.25" customHeight="1">
      <c r="A89" s="140"/>
      <c r="L89" s="32"/>
      <c r="M89" s="3"/>
      <c r="N89" s="3"/>
      <c r="P89" s="3"/>
      <c r="AE89" s="32"/>
      <c r="AF89" s="32"/>
      <c r="AG89" s="32"/>
    </row>
    <row r="90" ht="23.25" customHeight="1">
      <c r="A90" s="140"/>
      <c r="L90" s="32"/>
      <c r="M90" s="3"/>
      <c r="N90" s="3"/>
      <c r="P90" s="3"/>
      <c r="AE90" s="32"/>
      <c r="AF90" s="32"/>
      <c r="AG90" s="32"/>
    </row>
    <row r="91" ht="23.25" customHeight="1">
      <c r="A91" s="140"/>
      <c r="L91" s="32"/>
      <c r="M91" s="3"/>
      <c r="N91" s="3"/>
      <c r="P91" s="3"/>
      <c r="AE91" s="32"/>
      <c r="AF91" s="32"/>
      <c r="AG91" s="32"/>
    </row>
    <row r="92" ht="23.25" customHeight="1">
      <c r="A92" s="140"/>
      <c r="L92" s="32"/>
      <c r="M92" s="3"/>
      <c r="N92" s="3"/>
      <c r="P92" s="3"/>
      <c r="AE92" s="32"/>
      <c r="AF92" s="32"/>
      <c r="AG92" s="32"/>
    </row>
    <row r="93" ht="23.25" customHeight="1">
      <c r="A93" s="140"/>
      <c r="L93" s="32"/>
      <c r="M93" s="3"/>
      <c r="N93" s="3"/>
      <c r="P93" s="3"/>
      <c r="AE93" s="32"/>
      <c r="AF93" s="32"/>
      <c r="AG93" s="32"/>
    </row>
    <row r="94" ht="23.25" customHeight="1">
      <c r="A94" s="140"/>
      <c r="L94" s="32"/>
      <c r="M94" s="3"/>
      <c r="N94" s="3"/>
      <c r="P94" s="3"/>
      <c r="AE94" s="32"/>
      <c r="AF94" s="32"/>
      <c r="AG94" s="32"/>
    </row>
    <row r="95" ht="23.25" customHeight="1">
      <c r="A95" s="140"/>
      <c r="L95" s="32"/>
      <c r="M95" s="3"/>
      <c r="N95" s="3"/>
      <c r="P95" s="3"/>
      <c r="AE95" s="32"/>
      <c r="AF95" s="32"/>
      <c r="AG95" s="32"/>
    </row>
    <row r="96" ht="23.25" customHeight="1">
      <c r="A96" s="140"/>
      <c r="L96" s="32"/>
      <c r="M96" s="3"/>
      <c r="N96" s="3"/>
      <c r="P96" s="3"/>
      <c r="AE96" s="32"/>
      <c r="AF96" s="32"/>
      <c r="AG96" s="32"/>
    </row>
    <row r="97" ht="23.25" customHeight="1">
      <c r="A97" s="140"/>
      <c r="L97" s="32"/>
      <c r="M97" s="3"/>
      <c r="N97" s="3"/>
      <c r="P97" s="3"/>
      <c r="AE97" s="32"/>
      <c r="AF97" s="32"/>
      <c r="AG97" s="32"/>
    </row>
    <row r="98" ht="23.25" customHeight="1">
      <c r="A98" s="140"/>
      <c r="L98" s="32"/>
      <c r="M98" s="3"/>
      <c r="N98" s="3"/>
      <c r="P98" s="3"/>
      <c r="AE98" s="32"/>
      <c r="AF98" s="32"/>
      <c r="AG98" s="32"/>
    </row>
    <row r="99" ht="23.25" customHeight="1">
      <c r="A99" s="140"/>
      <c r="L99" s="32"/>
      <c r="M99" s="3"/>
      <c r="N99" s="3"/>
      <c r="P99" s="3"/>
      <c r="AE99" s="32"/>
      <c r="AF99" s="32"/>
      <c r="AG99" s="32"/>
    </row>
    <row r="100" ht="23.25" customHeight="1">
      <c r="A100" s="140"/>
      <c r="L100" s="32"/>
      <c r="M100" s="3"/>
      <c r="N100" s="3"/>
      <c r="P100" s="3"/>
      <c r="AE100" s="32"/>
      <c r="AF100" s="32"/>
      <c r="AG100" s="32"/>
    </row>
    <row r="101" ht="23.25" customHeight="1">
      <c r="A101" s="140"/>
      <c r="L101" s="32"/>
      <c r="M101" s="3"/>
      <c r="N101" s="3"/>
      <c r="P101" s="3"/>
      <c r="AE101" s="32"/>
      <c r="AF101" s="32"/>
      <c r="AG101" s="32"/>
    </row>
    <row r="102" ht="23.25" customHeight="1">
      <c r="A102" s="140"/>
      <c r="L102" s="32"/>
      <c r="M102" s="3"/>
      <c r="N102" s="3"/>
      <c r="P102" s="3"/>
      <c r="AE102" s="32"/>
      <c r="AF102" s="32"/>
      <c r="AG102" s="32"/>
    </row>
    <row r="103" ht="23.25" customHeight="1">
      <c r="A103" s="140"/>
      <c r="L103" s="32"/>
      <c r="M103" s="3"/>
      <c r="N103" s="3"/>
      <c r="P103" s="3"/>
      <c r="AE103" s="32"/>
      <c r="AF103" s="32"/>
      <c r="AG103" s="32"/>
    </row>
    <row r="104" ht="23.25" customHeight="1">
      <c r="A104" s="140"/>
      <c r="L104" s="32"/>
      <c r="M104" s="3"/>
      <c r="N104" s="3"/>
      <c r="P104" s="3"/>
      <c r="AE104" s="32"/>
      <c r="AF104" s="32"/>
      <c r="AG104" s="32"/>
    </row>
    <row r="105" ht="23.25" customHeight="1">
      <c r="A105" s="140"/>
      <c r="L105" s="32"/>
      <c r="M105" s="3"/>
      <c r="N105" s="3"/>
      <c r="P105" s="3"/>
      <c r="AE105" s="32"/>
      <c r="AF105" s="32"/>
      <c r="AG105" s="32"/>
    </row>
    <row r="106" ht="23.25" customHeight="1">
      <c r="A106" s="140"/>
      <c r="L106" s="32"/>
      <c r="M106" s="3"/>
      <c r="N106" s="3"/>
      <c r="P106" s="3"/>
      <c r="AE106" s="32"/>
      <c r="AF106" s="32"/>
      <c r="AG106" s="32"/>
    </row>
    <row r="107" ht="23.25" customHeight="1">
      <c r="A107" s="140"/>
      <c r="L107" s="32"/>
      <c r="M107" s="3"/>
      <c r="N107" s="3"/>
      <c r="P107" s="3"/>
      <c r="AE107" s="32"/>
      <c r="AF107" s="32"/>
      <c r="AG107" s="32"/>
    </row>
    <row r="108" ht="23.25" customHeight="1">
      <c r="A108" s="140"/>
      <c r="L108" s="32"/>
      <c r="M108" s="3"/>
      <c r="N108" s="3"/>
      <c r="P108" s="3"/>
      <c r="AE108" s="32"/>
      <c r="AF108" s="32"/>
      <c r="AG108" s="32"/>
    </row>
    <row r="109" ht="23.25" customHeight="1">
      <c r="A109" s="140"/>
      <c r="L109" s="32"/>
      <c r="M109" s="3"/>
      <c r="N109" s="3"/>
      <c r="P109" s="3"/>
      <c r="AE109" s="32"/>
      <c r="AF109" s="32"/>
      <c r="AG109" s="32"/>
    </row>
    <row r="110" ht="23.25" customHeight="1">
      <c r="A110" s="140"/>
      <c r="L110" s="32"/>
      <c r="M110" s="3"/>
      <c r="N110" s="3"/>
      <c r="P110" s="3"/>
      <c r="AE110" s="32"/>
      <c r="AF110" s="32"/>
      <c r="AG110" s="32"/>
    </row>
    <row r="111" ht="23.25" customHeight="1">
      <c r="A111" s="140"/>
      <c r="L111" s="32"/>
      <c r="M111" s="3"/>
      <c r="N111" s="3"/>
      <c r="P111" s="3"/>
      <c r="AE111" s="32"/>
      <c r="AF111" s="32"/>
      <c r="AG111" s="32"/>
    </row>
    <row r="112" ht="23.25" customHeight="1">
      <c r="A112" s="140"/>
      <c r="L112" s="32"/>
      <c r="M112" s="3"/>
      <c r="N112" s="3"/>
      <c r="P112" s="3"/>
      <c r="AE112" s="32"/>
      <c r="AF112" s="32"/>
      <c r="AG112" s="32"/>
    </row>
    <row r="113" ht="23.25" customHeight="1">
      <c r="A113" s="140"/>
      <c r="L113" s="32"/>
      <c r="M113" s="3"/>
      <c r="N113" s="3"/>
      <c r="P113" s="3"/>
      <c r="AE113" s="32"/>
      <c r="AF113" s="32"/>
      <c r="AG113" s="32"/>
    </row>
    <row r="114" ht="23.25" customHeight="1">
      <c r="A114" s="140"/>
      <c r="L114" s="32"/>
      <c r="M114" s="3"/>
      <c r="N114" s="3"/>
      <c r="P114" s="3"/>
      <c r="AE114" s="32"/>
      <c r="AF114" s="32"/>
      <c r="AG114" s="32"/>
    </row>
    <row r="115" ht="23.25" customHeight="1">
      <c r="A115" s="140"/>
      <c r="L115" s="32"/>
      <c r="M115" s="3"/>
      <c r="N115" s="3"/>
      <c r="P115" s="3"/>
      <c r="AE115" s="32"/>
      <c r="AF115" s="32"/>
      <c r="AG115" s="32"/>
    </row>
    <row r="116" ht="23.25" customHeight="1">
      <c r="A116" s="140"/>
      <c r="L116" s="32"/>
      <c r="M116" s="3"/>
      <c r="N116" s="3"/>
      <c r="P116" s="3"/>
      <c r="AE116" s="32"/>
      <c r="AF116" s="32"/>
      <c r="AG116" s="32"/>
    </row>
    <row r="117" ht="23.25" customHeight="1">
      <c r="A117" s="140"/>
      <c r="L117" s="32"/>
      <c r="M117" s="3"/>
      <c r="N117" s="3"/>
      <c r="P117" s="3"/>
      <c r="AE117" s="32"/>
      <c r="AF117" s="32"/>
      <c r="AG117" s="32"/>
    </row>
    <row r="118" ht="23.25" customHeight="1">
      <c r="A118" s="140"/>
      <c r="L118" s="32"/>
      <c r="M118" s="3"/>
      <c r="N118" s="3"/>
      <c r="P118" s="3"/>
      <c r="AE118" s="32"/>
      <c r="AF118" s="32"/>
      <c r="AG118" s="32"/>
    </row>
    <row r="119" ht="23.25" customHeight="1">
      <c r="A119" s="140"/>
      <c r="L119" s="32"/>
      <c r="M119" s="3"/>
      <c r="N119" s="3"/>
      <c r="P119" s="3"/>
      <c r="AE119" s="32"/>
      <c r="AF119" s="32"/>
      <c r="AG119" s="32"/>
    </row>
    <row r="120" ht="23.25" customHeight="1">
      <c r="A120" s="140"/>
      <c r="L120" s="32"/>
      <c r="M120" s="3"/>
      <c r="N120" s="3"/>
      <c r="P120" s="3"/>
      <c r="AE120" s="32"/>
      <c r="AF120" s="32"/>
      <c r="AG120" s="32"/>
    </row>
    <row r="121" ht="23.25" customHeight="1">
      <c r="A121" s="140"/>
      <c r="L121" s="32"/>
      <c r="M121" s="3"/>
      <c r="N121" s="3"/>
      <c r="P121" s="3"/>
      <c r="AE121" s="32"/>
      <c r="AF121" s="32"/>
      <c r="AG121" s="32"/>
    </row>
    <row r="122" ht="23.25" customHeight="1">
      <c r="A122" s="140"/>
      <c r="L122" s="32"/>
      <c r="M122" s="3"/>
      <c r="N122" s="3"/>
      <c r="P122" s="3"/>
      <c r="AE122" s="32"/>
      <c r="AF122" s="32"/>
      <c r="AG122" s="32"/>
    </row>
    <row r="123" ht="23.25" customHeight="1">
      <c r="A123" s="140"/>
      <c r="L123" s="32"/>
      <c r="M123" s="3"/>
      <c r="N123" s="3"/>
      <c r="P123" s="3"/>
      <c r="AE123" s="32"/>
      <c r="AF123" s="32"/>
      <c r="AG123" s="32"/>
    </row>
    <row r="124" ht="23.25" customHeight="1">
      <c r="A124" s="140"/>
      <c r="L124" s="32"/>
      <c r="M124" s="3"/>
      <c r="N124" s="3"/>
      <c r="P124" s="3"/>
      <c r="AE124" s="32"/>
      <c r="AF124" s="32"/>
      <c r="AG124" s="32"/>
    </row>
    <row r="125" ht="23.25" customHeight="1">
      <c r="A125" s="140"/>
      <c r="L125" s="32"/>
      <c r="M125" s="3"/>
      <c r="N125" s="3"/>
      <c r="P125" s="3"/>
      <c r="AE125" s="32"/>
      <c r="AF125" s="32"/>
      <c r="AG125" s="32"/>
    </row>
    <row r="126" ht="23.25" customHeight="1">
      <c r="A126" s="140"/>
      <c r="L126" s="32"/>
      <c r="M126" s="3"/>
      <c r="N126" s="3"/>
      <c r="P126" s="3"/>
      <c r="AE126" s="32"/>
      <c r="AF126" s="32"/>
      <c r="AG126" s="32"/>
    </row>
    <row r="127" ht="23.25" customHeight="1">
      <c r="A127" s="140"/>
      <c r="L127" s="32"/>
      <c r="M127" s="3"/>
      <c r="N127" s="3"/>
      <c r="P127" s="3"/>
      <c r="AE127" s="32"/>
      <c r="AF127" s="32"/>
      <c r="AG127" s="32"/>
    </row>
    <row r="128" ht="23.25" customHeight="1">
      <c r="A128" s="140"/>
      <c r="L128" s="32"/>
      <c r="M128" s="3"/>
      <c r="N128" s="3"/>
      <c r="P128" s="3"/>
      <c r="AE128" s="32"/>
      <c r="AF128" s="32"/>
      <c r="AG128" s="32"/>
    </row>
    <row r="129" ht="23.25" customHeight="1">
      <c r="A129" s="140"/>
      <c r="L129" s="32"/>
      <c r="M129" s="3"/>
      <c r="N129" s="3"/>
      <c r="P129" s="3"/>
      <c r="AE129" s="32"/>
      <c r="AF129" s="32"/>
      <c r="AG129" s="32"/>
    </row>
    <row r="130" ht="23.25" customHeight="1">
      <c r="A130" s="140"/>
      <c r="L130" s="32"/>
      <c r="M130" s="3"/>
      <c r="N130" s="3"/>
      <c r="P130" s="3"/>
      <c r="AE130" s="32"/>
      <c r="AF130" s="32"/>
      <c r="AG130" s="32"/>
    </row>
    <row r="131" ht="23.25" customHeight="1">
      <c r="A131" s="140"/>
      <c r="L131" s="32"/>
      <c r="M131" s="3"/>
      <c r="N131" s="3"/>
      <c r="P131" s="3"/>
      <c r="AE131" s="32"/>
      <c r="AF131" s="32"/>
      <c r="AG131" s="32"/>
    </row>
    <row r="132" ht="23.25" customHeight="1">
      <c r="A132" s="140"/>
      <c r="L132" s="32"/>
      <c r="M132" s="3"/>
      <c r="N132" s="3"/>
      <c r="P132" s="3"/>
      <c r="AE132" s="32"/>
      <c r="AF132" s="32"/>
      <c r="AG132" s="32"/>
    </row>
    <row r="133" ht="23.25" customHeight="1">
      <c r="A133" s="140"/>
      <c r="L133" s="32"/>
      <c r="M133" s="3"/>
      <c r="N133" s="3"/>
      <c r="P133" s="3"/>
      <c r="AE133" s="32"/>
      <c r="AF133" s="32"/>
      <c r="AG133" s="32"/>
    </row>
    <row r="134" ht="23.25" customHeight="1">
      <c r="A134" s="140"/>
      <c r="L134" s="32"/>
      <c r="M134" s="3"/>
      <c r="N134" s="3"/>
      <c r="P134" s="3"/>
      <c r="AE134" s="32"/>
      <c r="AF134" s="32"/>
      <c r="AG134" s="32"/>
    </row>
    <row r="135" ht="23.25" customHeight="1">
      <c r="A135" s="140"/>
      <c r="L135" s="32"/>
      <c r="M135" s="3"/>
      <c r="N135" s="3"/>
      <c r="P135" s="3"/>
      <c r="AE135" s="32"/>
      <c r="AF135" s="32"/>
      <c r="AG135" s="32"/>
    </row>
    <row r="136" ht="23.25" customHeight="1">
      <c r="A136" s="140"/>
      <c r="L136" s="32"/>
      <c r="M136" s="3"/>
      <c r="N136" s="3"/>
      <c r="P136" s="3"/>
      <c r="AE136" s="32"/>
      <c r="AF136" s="32"/>
      <c r="AG136" s="32"/>
    </row>
    <row r="137" ht="23.25" customHeight="1">
      <c r="A137" s="140"/>
      <c r="L137" s="32"/>
      <c r="M137" s="3"/>
      <c r="N137" s="3"/>
      <c r="P137" s="3"/>
      <c r="AE137" s="32"/>
      <c r="AF137" s="32"/>
      <c r="AG137" s="32"/>
    </row>
    <row r="138" ht="23.25" customHeight="1">
      <c r="A138" s="140"/>
      <c r="L138" s="32"/>
      <c r="M138" s="3"/>
      <c r="N138" s="3"/>
      <c r="P138" s="3"/>
      <c r="AE138" s="32"/>
      <c r="AF138" s="32"/>
      <c r="AG138" s="32"/>
    </row>
    <row r="139" ht="23.25" customHeight="1">
      <c r="A139" s="140"/>
      <c r="L139" s="32"/>
      <c r="M139" s="3"/>
      <c r="N139" s="3"/>
      <c r="P139" s="3"/>
      <c r="AE139" s="32"/>
      <c r="AF139" s="32"/>
      <c r="AG139" s="32"/>
    </row>
    <row r="140" ht="23.25" customHeight="1">
      <c r="A140" s="140"/>
      <c r="L140" s="32"/>
      <c r="M140" s="3"/>
      <c r="N140" s="3"/>
      <c r="P140" s="3"/>
      <c r="AE140" s="32"/>
      <c r="AF140" s="32"/>
      <c r="AG140" s="32"/>
    </row>
    <row r="141" ht="23.25" customHeight="1">
      <c r="A141" s="140"/>
      <c r="L141" s="32"/>
      <c r="M141" s="3"/>
      <c r="N141" s="3"/>
      <c r="P141" s="3"/>
      <c r="AE141" s="32"/>
      <c r="AF141" s="32"/>
      <c r="AG141" s="32"/>
    </row>
    <row r="142" ht="23.25" customHeight="1">
      <c r="A142" s="140"/>
      <c r="L142" s="32"/>
      <c r="M142" s="3"/>
      <c r="N142" s="3"/>
      <c r="P142" s="3"/>
      <c r="AE142" s="32"/>
      <c r="AF142" s="32"/>
      <c r="AG142" s="32"/>
    </row>
    <row r="143" ht="23.25" customHeight="1">
      <c r="A143" s="140"/>
      <c r="L143" s="32"/>
      <c r="M143" s="3"/>
      <c r="N143" s="3"/>
      <c r="P143" s="3"/>
      <c r="AE143" s="32"/>
      <c r="AF143" s="32"/>
      <c r="AG143" s="32"/>
    </row>
    <row r="144" ht="23.25" customHeight="1">
      <c r="A144" s="140"/>
      <c r="L144" s="32"/>
      <c r="M144" s="3"/>
      <c r="N144" s="3"/>
      <c r="P144" s="3"/>
      <c r="AE144" s="32"/>
      <c r="AF144" s="32"/>
      <c r="AG144" s="32"/>
    </row>
    <row r="145" ht="23.25" customHeight="1">
      <c r="A145" s="140"/>
      <c r="L145" s="32"/>
      <c r="M145" s="3"/>
      <c r="N145" s="3"/>
      <c r="P145" s="3"/>
      <c r="AE145" s="32"/>
      <c r="AF145" s="32"/>
      <c r="AG145" s="32"/>
    </row>
    <row r="146" ht="23.25" customHeight="1">
      <c r="A146" s="140"/>
      <c r="L146" s="32"/>
      <c r="M146" s="3"/>
      <c r="N146" s="3"/>
      <c r="P146" s="3"/>
      <c r="AE146" s="32"/>
      <c r="AF146" s="32"/>
      <c r="AG146" s="32"/>
    </row>
    <row r="147" ht="23.25" customHeight="1">
      <c r="A147" s="140"/>
      <c r="L147" s="32"/>
      <c r="M147" s="3"/>
      <c r="N147" s="3"/>
      <c r="P147" s="3"/>
      <c r="AE147" s="32"/>
      <c r="AF147" s="32"/>
      <c r="AG147" s="32"/>
    </row>
    <row r="148" ht="23.25" customHeight="1">
      <c r="A148" s="140"/>
      <c r="L148" s="32"/>
      <c r="M148" s="3"/>
      <c r="N148" s="3"/>
      <c r="P148" s="3"/>
      <c r="AE148" s="32"/>
      <c r="AF148" s="32"/>
      <c r="AG148" s="32"/>
    </row>
    <row r="149" ht="23.25" customHeight="1">
      <c r="A149" s="140"/>
      <c r="L149" s="32"/>
      <c r="M149" s="3"/>
      <c r="N149" s="3"/>
      <c r="P149" s="3"/>
      <c r="AE149" s="32"/>
      <c r="AF149" s="32"/>
      <c r="AG149" s="32"/>
    </row>
    <row r="150" ht="23.25" customHeight="1">
      <c r="A150" s="140"/>
      <c r="L150" s="32"/>
      <c r="M150" s="3"/>
      <c r="N150" s="3"/>
      <c r="P150" s="3"/>
      <c r="AE150" s="32"/>
      <c r="AF150" s="32"/>
      <c r="AG150" s="32"/>
    </row>
    <row r="151" ht="23.25" customHeight="1">
      <c r="A151" s="140"/>
      <c r="L151" s="32"/>
      <c r="M151" s="3"/>
      <c r="N151" s="3"/>
      <c r="P151" s="3"/>
      <c r="AE151" s="32"/>
      <c r="AF151" s="32"/>
      <c r="AG151" s="32"/>
    </row>
    <row r="152" ht="23.25" customHeight="1">
      <c r="A152" s="140"/>
      <c r="L152" s="32"/>
      <c r="M152" s="3"/>
      <c r="N152" s="3"/>
      <c r="P152" s="3"/>
      <c r="AE152" s="32"/>
      <c r="AF152" s="32"/>
      <c r="AG152" s="32"/>
    </row>
    <row r="153" ht="23.25" customHeight="1">
      <c r="A153" s="140"/>
      <c r="L153" s="32"/>
      <c r="M153" s="3"/>
      <c r="N153" s="3"/>
      <c r="P153" s="3"/>
      <c r="AE153" s="32"/>
      <c r="AF153" s="32"/>
      <c r="AG153" s="32"/>
    </row>
    <row r="154" ht="23.25" customHeight="1">
      <c r="A154" s="140"/>
      <c r="L154" s="32"/>
      <c r="M154" s="3"/>
      <c r="N154" s="3"/>
      <c r="P154" s="3"/>
      <c r="AE154" s="32"/>
      <c r="AF154" s="32"/>
      <c r="AG154" s="32"/>
    </row>
    <row r="155" ht="23.25" customHeight="1">
      <c r="A155" s="140"/>
      <c r="L155" s="32"/>
      <c r="M155" s="3"/>
      <c r="N155" s="3"/>
      <c r="P155" s="3"/>
      <c r="AE155" s="32"/>
      <c r="AF155" s="32"/>
      <c r="AG155" s="32"/>
    </row>
    <row r="156" ht="23.25" customHeight="1">
      <c r="A156" s="140"/>
      <c r="L156" s="32"/>
      <c r="M156" s="3"/>
      <c r="N156" s="3"/>
      <c r="P156" s="3"/>
      <c r="AE156" s="32"/>
      <c r="AF156" s="32"/>
      <c r="AG156" s="32"/>
    </row>
    <row r="157" ht="23.25" customHeight="1">
      <c r="A157" s="140"/>
      <c r="L157" s="32"/>
      <c r="M157" s="3"/>
      <c r="N157" s="3"/>
      <c r="P157" s="3"/>
      <c r="AE157" s="32"/>
      <c r="AF157" s="32"/>
      <c r="AG157" s="32"/>
    </row>
    <row r="158" ht="23.25" customHeight="1">
      <c r="A158" s="140"/>
      <c r="L158" s="32"/>
      <c r="M158" s="3"/>
      <c r="N158" s="3"/>
      <c r="P158" s="3"/>
      <c r="AE158" s="32"/>
      <c r="AF158" s="32"/>
      <c r="AG158" s="32"/>
    </row>
    <row r="159" ht="23.25" customHeight="1">
      <c r="A159" s="140"/>
      <c r="L159" s="32"/>
      <c r="M159" s="3"/>
      <c r="N159" s="3"/>
      <c r="P159" s="3"/>
      <c r="AE159" s="32"/>
      <c r="AF159" s="32"/>
      <c r="AG159" s="32"/>
    </row>
    <row r="160" ht="23.25" customHeight="1">
      <c r="A160" s="140"/>
      <c r="L160" s="32"/>
      <c r="M160" s="3"/>
      <c r="N160" s="3"/>
      <c r="P160" s="3"/>
      <c r="AE160" s="32"/>
      <c r="AF160" s="32"/>
      <c r="AG160" s="32"/>
    </row>
    <row r="161" ht="23.25" customHeight="1">
      <c r="A161" s="140"/>
      <c r="L161" s="32"/>
      <c r="M161" s="3"/>
      <c r="N161" s="3"/>
      <c r="P161" s="3"/>
      <c r="AE161" s="32"/>
      <c r="AF161" s="32"/>
      <c r="AG161" s="32"/>
    </row>
    <row r="162" ht="23.25" customHeight="1">
      <c r="A162" s="140"/>
      <c r="L162" s="32"/>
      <c r="M162" s="3"/>
      <c r="N162" s="3"/>
      <c r="P162" s="3"/>
      <c r="AE162" s="32"/>
      <c r="AF162" s="32"/>
      <c r="AG162" s="32"/>
    </row>
    <row r="163" ht="23.25" customHeight="1">
      <c r="A163" s="140"/>
      <c r="L163" s="32"/>
      <c r="M163" s="3"/>
      <c r="N163" s="3"/>
      <c r="P163" s="3"/>
      <c r="AE163" s="32"/>
      <c r="AF163" s="32"/>
      <c r="AG163" s="32"/>
    </row>
    <row r="164" ht="23.25" customHeight="1">
      <c r="A164" s="140"/>
      <c r="L164" s="32"/>
      <c r="M164" s="3"/>
      <c r="N164" s="3"/>
      <c r="P164" s="3"/>
      <c r="AE164" s="32"/>
      <c r="AF164" s="32"/>
      <c r="AG164" s="32"/>
    </row>
    <row r="165" ht="23.25" customHeight="1">
      <c r="A165" s="140"/>
      <c r="L165" s="32"/>
      <c r="M165" s="3"/>
      <c r="N165" s="3"/>
      <c r="P165" s="3"/>
      <c r="AE165" s="32"/>
      <c r="AF165" s="32"/>
      <c r="AG165" s="32"/>
    </row>
    <row r="166" ht="23.25" customHeight="1">
      <c r="A166" s="140"/>
      <c r="L166" s="32"/>
      <c r="M166" s="3"/>
      <c r="N166" s="3"/>
      <c r="P166" s="3"/>
      <c r="AE166" s="32"/>
      <c r="AF166" s="32"/>
      <c r="AG166" s="32"/>
    </row>
    <row r="167" ht="23.25" customHeight="1">
      <c r="A167" s="140"/>
      <c r="L167" s="32"/>
      <c r="M167" s="3"/>
      <c r="N167" s="3"/>
      <c r="P167" s="3"/>
      <c r="AE167" s="32"/>
      <c r="AF167" s="32"/>
      <c r="AG167" s="32"/>
    </row>
    <row r="168" ht="23.25" customHeight="1">
      <c r="A168" s="140"/>
      <c r="L168" s="32"/>
      <c r="M168" s="3"/>
      <c r="N168" s="3"/>
      <c r="P168" s="3"/>
      <c r="AE168" s="32"/>
      <c r="AF168" s="32"/>
      <c r="AG168" s="32"/>
    </row>
    <row r="169" ht="23.25" customHeight="1">
      <c r="A169" s="140"/>
      <c r="L169" s="32"/>
      <c r="M169" s="3"/>
      <c r="N169" s="3"/>
      <c r="P169" s="3"/>
      <c r="AE169" s="32"/>
      <c r="AF169" s="32"/>
      <c r="AG169" s="32"/>
    </row>
    <row r="170" ht="23.25" customHeight="1">
      <c r="A170" s="140"/>
      <c r="L170" s="32"/>
      <c r="M170" s="3"/>
      <c r="N170" s="3"/>
      <c r="P170" s="3"/>
      <c r="AE170" s="32"/>
      <c r="AF170" s="32"/>
      <c r="AG170" s="32"/>
    </row>
    <row r="171" ht="23.25" customHeight="1">
      <c r="A171" s="140"/>
      <c r="L171" s="32"/>
      <c r="M171" s="3"/>
      <c r="N171" s="3"/>
      <c r="P171" s="3"/>
      <c r="AE171" s="32"/>
      <c r="AF171" s="32"/>
      <c r="AG171" s="32"/>
    </row>
    <row r="172" ht="23.25" customHeight="1">
      <c r="A172" s="140"/>
      <c r="L172" s="32"/>
      <c r="M172" s="3"/>
      <c r="N172" s="3"/>
      <c r="P172" s="3"/>
      <c r="AE172" s="32"/>
      <c r="AF172" s="32"/>
      <c r="AG172" s="32"/>
    </row>
    <row r="173" ht="23.25" customHeight="1">
      <c r="A173" s="140"/>
      <c r="L173" s="32"/>
      <c r="M173" s="3"/>
      <c r="N173" s="3"/>
      <c r="P173" s="3"/>
      <c r="AE173" s="32"/>
      <c r="AF173" s="32"/>
      <c r="AG173" s="32"/>
    </row>
    <row r="174" ht="23.25" customHeight="1">
      <c r="A174" s="140"/>
      <c r="L174" s="32"/>
      <c r="M174" s="3"/>
      <c r="N174" s="3"/>
      <c r="P174" s="3"/>
      <c r="AE174" s="32"/>
      <c r="AF174" s="32"/>
      <c r="AG174" s="32"/>
    </row>
    <row r="175" ht="23.25" customHeight="1">
      <c r="A175" s="140"/>
      <c r="L175" s="32"/>
      <c r="M175" s="3"/>
      <c r="N175" s="3"/>
      <c r="P175" s="3"/>
      <c r="AE175" s="32"/>
      <c r="AF175" s="32"/>
      <c r="AG175" s="32"/>
    </row>
    <row r="176" ht="23.25" customHeight="1">
      <c r="A176" s="140"/>
      <c r="L176" s="32"/>
      <c r="M176" s="3"/>
      <c r="N176" s="3"/>
      <c r="P176" s="3"/>
      <c r="AE176" s="32"/>
      <c r="AF176" s="32"/>
      <c r="AG176" s="32"/>
    </row>
    <row r="177" ht="23.25" customHeight="1">
      <c r="A177" s="140"/>
      <c r="L177" s="32"/>
      <c r="M177" s="3"/>
      <c r="N177" s="3"/>
      <c r="P177" s="3"/>
      <c r="AE177" s="32"/>
      <c r="AF177" s="32"/>
      <c r="AG177" s="32"/>
    </row>
    <row r="178" ht="23.25" customHeight="1">
      <c r="A178" s="140"/>
      <c r="L178" s="32"/>
      <c r="M178" s="3"/>
      <c r="N178" s="3"/>
      <c r="P178" s="3"/>
      <c r="AE178" s="32"/>
      <c r="AF178" s="32"/>
      <c r="AG178" s="32"/>
    </row>
    <row r="179" ht="23.25" customHeight="1">
      <c r="A179" s="140"/>
      <c r="L179" s="32"/>
      <c r="M179" s="3"/>
      <c r="N179" s="3"/>
      <c r="P179" s="3"/>
      <c r="AE179" s="32"/>
      <c r="AF179" s="32"/>
      <c r="AG179" s="32"/>
    </row>
    <row r="180" ht="23.25" customHeight="1">
      <c r="A180" s="140"/>
      <c r="L180" s="32"/>
      <c r="M180" s="3"/>
      <c r="N180" s="3"/>
      <c r="P180" s="3"/>
      <c r="AE180" s="32"/>
      <c r="AF180" s="32"/>
      <c r="AG180" s="32"/>
    </row>
    <row r="181" ht="23.25" customHeight="1">
      <c r="A181" s="140"/>
      <c r="L181" s="32"/>
      <c r="M181" s="3"/>
      <c r="N181" s="3"/>
      <c r="P181" s="3"/>
      <c r="AE181" s="32"/>
      <c r="AF181" s="32"/>
      <c r="AG181" s="32"/>
    </row>
    <row r="182" ht="23.25" customHeight="1">
      <c r="A182" s="140"/>
      <c r="L182" s="32"/>
      <c r="M182" s="3"/>
      <c r="N182" s="3"/>
      <c r="P182" s="3"/>
      <c r="AE182" s="32"/>
      <c r="AF182" s="32"/>
      <c r="AG182" s="32"/>
    </row>
    <row r="183" ht="23.25" customHeight="1">
      <c r="A183" s="140"/>
      <c r="L183" s="32"/>
      <c r="M183" s="3"/>
      <c r="N183" s="3"/>
      <c r="P183" s="3"/>
      <c r="AE183" s="32"/>
      <c r="AF183" s="32"/>
      <c r="AG183" s="32"/>
    </row>
    <row r="184" ht="23.25" customHeight="1">
      <c r="A184" s="140"/>
      <c r="L184" s="32"/>
      <c r="M184" s="3"/>
      <c r="N184" s="3"/>
      <c r="P184" s="3"/>
      <c r="AE184" s="32"/>
      <c r="AF184" s="32"/>
      <c r="AG184" s="32"/>
    </row>
    <row r="185" ht="23.25" customHeight="1">
      <c r="A185" s="140"/>
      <c r="L185" s="32"/>
      <c r="M185" s="3"/>
      <c r="N185" s="3"/>
      <c r="P185" s="3"/>
      <c r="AE185" s="32"/>
      <c r="AF185" s="32"/>
      <c r="AG185" s="32"/>
    </row>
    <row r="186" ht="23.25" customHeight="1">
      <c r="A186" s="140"/>
      <c r="L186" s="32"/>
      <c r="M186" s="3"/>
      <c r="N186" s="3"/>
      <c r="P186" s="3"/>
      <c r="AE186" s="32"/>
      <c r="AF186" s="32"/>
      <c r="AG186" s="32"/>
    </row>
    <row r="187" ht="23.25" customHeight="1">
      <c r="A187" s="140"/>
      <c r="L187" s="32"/>
      <c r="M187" s="3"/>
      <c r="N187" s="3"/>
      <c r="P187" s="3"/>
      <c r="AE187" s="32"/>
      <c r="AF187" s="32"/>
      <c r="AG187" s="32"/>
    </row>
    <row r="188" ht="23.25" customHeight="1">
      <c r="A188" s="140"/>
      <c r="L188" s="32"/>
      <c r="M188" s="3"/>
      <c r="N188" s="3"/>
      <c r="P188" s="3"/>
      <c r="AE188" s="32"/>
      <c r="AF188" s="32"/>
      <c r="AG188" s="32"/>
    </row>
    <row r="189" ht="23.25" customHeight="1">
      <c r="A189" s="140"/>
      <c r="L189" s="32"/>
      <c r="M189" s="3"/>
      <c r="N189" s="3"/>
      <c r="P189" s="3"/>
      <c r="AE189" s="32"/>
      <c r="AF189" s="32"/>
      <c r="AG189" s="32"/>
    </row>
    <row r="190" ht="23.25" customHeight="1">
      <c r="A190" s="140"/>
      <c r="L190" s="32"/>
      <c r="M190" s="3"/>
      <c r="N190" s="3"/>
      <c r="P190" s="3"/>
      <c r="AE190" s="32"/>
      <c r="AF190" s="32"/>
      <c r="AG190" s="32"/>
    </row>
    <row r="191" ht="23.25" customHeight="1">
      <c r="A191" s="140"/>
      <c r="L191" s="32"/>
      <c r="M191" s="3"/>
      <c r="N191" s="3"/>
      <c r="P191" s="3"/>
      <c r="AE191" s="32"/>
      <c r="AF191" s="32"/>
      <c r="AG191" s="32"/>
    </row>
    <row r="192" ht="23.25" customHeight="1">
      <c r="A192" s="140"/>
      <c r="L192" s="32"/>
      <c r="M192" s="3"/>
      <c r="N192" s="3"/>
      <c r="P192" s="3"/>
      <c r="AE192" s="32"/>
      <c r="AF192" s="32"/>
      <c r="AG192" s="32"/>
    </row>
    <row r="193" ht="23.25" customHeight="1">
      <c r="A193" s="140"/>
      <c r="L193" s="32"/>
      <c r="M193" s="3"/>
      <c r="N193" s="3"/>
      <c r="P193" s="3"/>
      <c r="AE193" s="32"/>
      <c r="AF193" s="32"/>
      <c r="AG193" s="32"/>
    </row>
    <row r="194" ht="23.25" customHeight="1">
      <c r="A194" s="140"/>
      <c r="L194" s="32"/>
      <c r="M194" s="3"/>
      <c r="N194" s="3"/>
      <c r="P194" s="3"/>
      <c r="AE194" s="32"/>
      <c r="AF194" s="32"/>
      <c r="AG194" s="32"/>
    </row>
    <row r="195" ht="23.25" customHeight="1">
      <c r="A195" s="140"/>
      <c r="L195" s="32"/>
      <c r="M195" s="3"/>
      <c r="N195" s="3"/>
      <c r="P195" s="3"/>
      <c r="AE195" s="32"/>
      <c r="AF195" s="32"/>
      <c r="AG195" s="32"/>
    </row>
    <row r="196" ht="23.25" customHeight="1">
      <c r="A196" s="140"/>
      <c r="L196" s="32"/>
      <c r="M196" s="3"/>
      <c r="N196" s="3"/>
      <c r="P196" s="3"/>
      <c r="AE196" s="32"/>
      <c r="AF196" s="32"/>
      <c r="AG196" s="32"/>
    </row>
    <row r="197" ht="23.25" customHeight="1">
      <c r="A197" s="140"/>
      <c r="L197" s="32"/>
      <c r="M197" s="3"/>
      <c r="N197" s="3"/>
      <c r="P197" s="3"/>
      <c r="AE197" s="32"/>
      <c r="AF197" s="32"/>
      <c r="AG197" s="32"/>
    </row>
    <row r="198" ht="23.25" customHeight="1">
      <c r="A198" s="140"/>
      <c r="L198" s="32"/>
      <c r="M198" s="3"/>
      <c r="N198" s="3"/>
      <c r="P198" s="3"/>
      <c r="AE198" s="32"/>
      <c r="AF198" s="32"/>
      <c r="AG198" s="32"/>
    </row>
    <row r="199" ht="23.25" customHeight="1">
      <c r="A199" s="140"/>
      <c r="L199" s="32"/>
      <c r="M199" s="3"/>
      <c r="N199" s="3"/>
      <c r="P199" s="3"/>
      <c r="AE199" s="32"/>
      <c r="AF199" s="32"/>
      <c r="AG199" s="32"/>
    </row>
    <row r="200" ht="23.25" customHeight="1">
      <c r="A200" s="140"/>
      <c r="L200" s="32"/>
      <c r="M200" s="3"/>
      <c r="N200" s="3"/>
      <c r="P200" s="3"/>
      <c r="AE200" s="32"/>
      <c r="AF200" s="32"/>
      <c r="AG200" s="32"/>
    </row>
    <row r="201" ht="23.25" customHeight="1">
      <c r="A201" s="140"/>
      <c r="L201" s="32"/>
      <c r="M201" s="3"/>
      <c r="N201" s="3"/>
      <c r="P201" s="3"/>
      <c r="AE201" s="32"/>
      <c r="AF201" s="32"/>
      <c r="AG201" s="32"/>
    </row>
    <row r="202" ht="23.25" customHeight="1">
      <c r="A202" s="140"/>
      <c r="L202" s="32"/>
      <c r="M202" s="3"/>
      <c r="N202" s="3"/>
      <c r="P202" s="3"/>
      <c r="AE202" s="32"/>
      <c r="AF202" s="32"/>
      <c r="AG202" s="32"/>
    </row>
    <row r="203" ht="23.25" customHeight="1">
      <c r="A203" s="140"/>
      <c r="L203" s="32"/>
      <c r="M203" s="3"/>
      <c r="N203" s="3"/>
      <c r="P203" s="3"/>
      <c r="AE203" s="32"/>
      <c r="AF203" s="32"/>
      <c r="AG203" s="32"/>
    </row>
    <row r="204" ht="23.25" customHeight="1">
      <c r="A204" s="140"/>
      <c r="L204" s="32"/>
      <c r="M204" s="3"/>
      <c r="N204" s="3"/>
      <c r="P204" s="3"/>
      <c r="AE204" s="32"/>
      <c r="AF204" s="32"/>
      <c r="AG204" s="32"/>
    </row>
    <row r="205" ht="23.25" customHeight="1">
      <c r="A205" s="140"/>
      <c r="L205" s="32"/>
      <c r="M205" s="3"/>
      <c r="N205" s="3"/>
      <c r="P205" s="3"/>
      <c r="AE205" s="32"/>
      <c r="AF205" s="32"/>
      <c r="AG205" s="32"/>
    </row>
    <row r="206" ht="23.25" customHeight="1">
      <c r="A206" s="140"/>
      <c r="L206" s="32"/>
      <c r="M206" s="3"/>
      <c r="N206" s="3"/>
      <c r="P206" s="3"/>
      <c r="AE206" s="32"/>
      <c r="AF206" s="32"/>
      <c r="AG206" s="32"/>
    </row>
    <row r="207" ht="23.25" customHeight="1">
      <c r="A207" s="140"/>
      <c r="L207" s="32"/>
      <c r="M207" s="3"/>
      <c r="N207" s="3"/>
      <c r="P207" s="3"/>
      <c r="AE207" s="32"/>
      <c r="AF207" s="32"/>
      <c r="AG207" s="32"/>
    </row>
    <row r="208" ht="23.25" customHeight="1">
      <c r="A208" s="140"/>
      <c r="L208" s="32"/>
      <c r="M208" s="3"/>
      <c r="N208" s="3"/>
      <c r="P208" s="3"/>
      <c r="AE208" s="32"/>
      <c r="AF208" s="32"/>
      <c r="AG208" s="32"/>
    </row>
    <row r="209" ht="23.25" customHeight="1">
      <c r="A209" s="140"/>
      <c r="L209" s="32"/>
      <c r="M209" s="3"/>
      <c r="N209" s="3"/>
      <c r="P209" s="3"/>
      <c r="AE209" s="32"/>
      <c r="AF209" s="32"/>
      <c r="AG209" s="32"/>
    </row>
    <row r="210" ht="23.25" customHeight="1">
      <c r="A210" s="140"/>
      <c r="L210" s="32"/>
      <c r="M210" s="3"/>
      <c r="N210" s="3"/>
      <c r="P210" s="3"/>
      <c r="AE210" s="32"/>
      <c r="AF210" s="32"/>
      <c r="AG210" s="32"/>
    </row>
    <row r="211" ht="23.25" customHeight="1">
      <c r="A211" s="140"/>
      <c r="L211" s="32"/>
      <c r="M211" s="3"/>
      <c r="N211" s="3"/>
      <c r="P211" s="3"/>
      <c r="AE211" s="32"/>
      <c r="AF211" s="32"/>
      <c r="AG211" s="32"/>
    </row>
    <row r="212" ht="23.25" customHeight="1">
      <c r="A212" s="140"/>
      <c r="L212" s="32"/>
      <c r="M212" s="3"/>
      <c r="N212" s="3"/>
      <c r="P212" s="3"/>
      <c r="AE212" s="32"/>
      <c r="AF212" s="32"/>
      <c r="AG212" s="32"/>
    </row>
    <row r="213" ht="23.25" customHeight="1">
      <c r="A213" s="140"/>
      <c r="L213" s="32"/>
      <c r="M213" s="3"/>
      <c r="N213" s="3"/>
      <c r="P213" s="3"/>
      <c r="AE213" s="32"/>
      <c r="AF213" s="32"/>
      <c r="AG213" s="32"/>
    </row>
    <row r="214" ht="23.25" customHeight="1">
      <c r="A214" s="140"/>
      <c r="L214" s="32"/>
      <c r="M214" s="3"/>
      <c r="N214" s="3"/>
      <c r="P214" s="3"/>
      <c r="AE214" s="32"/>
      <c r="AF214" s="32"/>
      <c r="AG214" s="32"/>
    </row>
    <row r="215" ht="23.25" customHeight="1">
      <c r="A215" s="140"/>
      <c r="L215" s="32"/>
      <c r="M215" s="3"/>
      <c r="N215" s="3"/>
      <c r="P215" s="3"/>
      <c r="AE215" s="32"/>
      <c r="AF215" s="32"/>
      <c r="AG215" s="32"/>
    </row>
    <row r="216" ht="23.25" customHeight="1">
      <c r="A216" s="140"/>
      <c r="L216" s="32"/>
      <c r="M216" s="3"/>
      <c r="N216" s="3"/>
      <c r="P216" s="3"/>
      <c r="AE216" s="32"/>
      <c r="AF216" s="32"/>
      <c r="AG216" s="32"/>
    </row>
    <row r="217" ht="23.25" customHeight="1">
      <c r="A217" s="140"/>
      <c r="L217" s="32"/>
      <c r="M217" s="3"/>
      <c r="N217" s="3"/>
      <c r="P217" s="3"/>
      <c r="AE217" s="32"/>
      <c r="AF217" s="32"/>
      <c r="AG217" s="32"/>
    </row>
    <row r="218" ht="23.25" customHeight="1">
      <c r="A218" s="140"/>
      <c r="L218" s="32"/>
      <c r="M218" s="3"/>
      <c r="N218" s="3"/>
      <c r="P218" s="3"/>
      <c r="AE218" s="32"/>
      <c r="AF218" s="32"/>
      <c r="AG218" s="32"/>
    </row>
    <row r="219" ht="23.25" customHeight="1">
      <c r="A219" s="140"/>
      <c r="L219" s="32"/>
      <c r="M219" s="3"/>
      <c r="N219" s="3"/>
      <c r="P219" s="3"/>
      <c r="AE219" s="32"/>
      <c r="AF219" s="32"/>
      <c r="AG219" s="32"/>
    </row>
    <row r="220" ht="23.25" customHeight="1">
      <c r="A220" s="140"/>
      <c r="L220" s="32"/>
      <c r="M220" s="3"/>
      <c r="N220" s="3"/>
      <c r="P220" s="3"/>
      <c r="AE220" s="32"/>
      <c r="AF220" s="32"/>
      <c r="AG220" s="32"/>
    </row>
    <row r="221" ht="23.25" customHeight="1">
      <c r="A221" s="140"/>
      <c r="L221" s="32"/>
      <c r="M221" s="3"/>
      <c r="N221" s="3"/>
      <c r="P221" s="3"/>
      <c r="AE221" s="32"/>
      <c r="AF221" s="32"/>
      <c r="AG221" s="32"/>
    </row>
    <row r="222" ht="23.25" customHeight="1">
      <c r="A222" s="140"/>
      <c r="L222" s="32"/>
      <c r="M222" s="3"/>
      <c r="N222" s="3"/>
      <c r="P222" s="3"/>
      <c r="AE222" s="32"/>
      <c r="AF222" s="32"/>
      <c r="AG222" s="32"/>
    </row>
    <row r="223" ht="23.25" customHeight="1">
      <c r="A223" s="140"/>
      <c r="L223" s="32"/>
      <c r="M223" s="3"/>
      <c r="N223" s="3"/>
      <c r="P223" s="3"/>
      <c r="AE223" s="32"/>
      <c r="AF223" s="32"/>
      <c r="AG223" s="32"/>
    </row>
    <row r="224" ht="23.25" customHeight="1">
      <c r="A224" s="140"/>
      <c r="L224" s="32"/>
      <c r="M224" s="3"/>
      <c r="N224" s="3"/>
      <c r="P224" s="3"/>
      <c r="AE224" s="32"/>
      <c r="AF224" s="32"/>
      <c r="AG224" s="32"/>
    </row>
    <row r="225" ht="23.25" customHeight="1">
      <c r="A225" s="140"/>
      <c r="L225" s="32"/>
      <c r="M225" s="3"/>
      <c r="N225" s="3"/>
      <c r="P225" s="3"/>
      <c r="AE225" s="32"/>
      <c r="AF225" s="32"/>
      <c r="AG225" s="32"/>
    </row>
    <row r="226" ht="23.25" customHeight="1">
      <c r="A226" s="140"/>
      <c r="L226" s="32"/>
      <c r="M226" s="3"/>
      <c r="N226" s="3"/>
      <c r="P226" s="3"/>
      <c r="AE226" s="32"/>
      <c r="AF226" s="32"/>
      <c r="AG226" s="32"/>
    </row>
    <row r="227" ht="23.25" customHeight="1">
      <c r="A227" s="140"/>
      <c r="L227" s="32"/>
      <c r="M227" s="3"/>
      <c r="N227" s="3"/>
      <c r="P227" s="3"/>
      <c r="AE227" s="32"/>
      <c r="AF227" s="32"/>
      <c r="AG227" s="32"/>
    </row>
    <row r="228" ht="23.25" customHeight="1">
      <c r="A228" s="140"/>
      <c r="L228" s="32"/>
      <c r="M228" s="3"/>
      <c r="N228" s="3"/>
      <c r="P228" s="3"/>
      <c r="AE228" s="32"/>
      <c r="AF228" s="32"/>
      <c r="AG228" s="32"/>
    </row>
    <row r="229" ht="23.25" customHeight="1">
      <c r="A229" s="140"/>
      <c r="L229" s="32"/>
      <c r="M229" s="3"/>
      <c r="N229" s="3"/>
      <c r="P229" s="3"/>
      <c r="AE229" s="32"/>
      <c r="AF229" s="32"/>
      <c r="AG229" s="32"/>
    </row>
    <row r="230" ht="23.25" customHeight="1">
      <c r="A230" s="140"/>
      <c r="L230" s="32"/>
      <c r="M230" s="3"/>
      <c r="N230" s="3"/>
      <c r="P230" s="3"/>
      <c r="AE230" s="32"/>
      <c r="AF230" s="32"/>
      <c r="AG230" s="32"/>
    </row>
    <row r="231" ht="23.25" customHeight="1">
      <c r="A231" s="140"/>
      <c r="L231" s="32"/>
      <c r="M231" s="3"/>
      <c r="N231" s="3"/>
      <c r="P231" s="3"/>
      <c r="AE231" s="32"/>
      <c r="AF231" s="32"/>
      <c r="AG231" s="32"/>
    </row>
    <row r="232" ht="23.25" customHeight="1">
      <c r="A232" s="140"/>
      <c r="L232" s="32"/>
      <c r="M232" s="3"/>
      <c r="N232" s="3"/>
      <c r="P232" s="3"/>
      <c r="AE232" s="32"/>
      <c r="AF232" s="32"/>
      <c r="AG232" s="32"/>
    </row>
    <row r="233" ht="23.25" customHeight="1">
      <c r="A233" s="140"/>
      <c r="L233" s="32"/>
      <c r="M233" s="3"/>
      <c r="N233" s="3"/>
      <c r="P233" s="3"/>
      <c r="AE233" s="32"/>
      <c r="AF233" s="32"/>
      <c r="AG233" s="32"/>
    </row>
    <row r="234" ht="23.25" customHeight="1">
      <c r="A234" s="140"/>
      <c r="L234" s="32"/>
      <c r="M234" s="3"/>
      <c r="N234" s="3"/>
      <c r="P234" s="3"/>
      <c r="AE234" s="32"/>
      <c r="AF234" s="32"/>
      <c r="AG234" s="32"/>
    </row>
    <row r="235" ht="23.25" customHeight="1">
      <c r="A235" s="140"/>
      <c r="L235" s="32"/>
      <c r="M235" s="3"/>
      <c r="N235" s="3"/>
      <c r="P235" s="3"/>
      <c r="AE235" s="32"/>
      <c r="AF235" s="32"/>
      <c r="AG235" s="32"/>
    </row>
    <row r="236" ht="23.25" customHeight="1">
      <c r="A236" s="140"/>
      <c r="L236" s="32"/>
      <c r="M236" s="3"/>
      <c r="N236" s="3"/>
      <c r="P236" s="3"/>
      <c r="AE236" s="32"/>
      <c r="AF236" s="32"/>
      <c r="AG236" s="32"/>
    </row>
    <row r="237" ht="23.25" customHeight="1">
      <c r="A237" s="140"/>
      <c r="L237" s="32"/>
      <c r="M237" s="3"/>
      <c r="N237" s="3"/>
      <c r="P237" s="3"/>
      <c r="AE237" s="32"/>
      <c r="AF237" s="32"/>
      <c r="AG237" s="32"/>
    </row>
    <row r="238" ht="23.25" customHeight="1">
      <c r="A238" s="140"/>
      <c r="L238" s="32"/>
      <c r="M238" s="3"/>
      <c r="N238" s="3"/>
      <c r="P238" s="3"/>
      <c r="AE238" s="32"/>
      <c r="AF238" s="32"/>
      <c r="AG238" s="32"/>
    </row>
    <row r="239" ht="23.25" customHeight="1">
      <c r="A239" s="140"/>
      <c r="L239" s="32"/>
      <c r="M239" s="3"/>
      <c r="N239" s="3"/>
      <c r="P239" s="3"/>
      <c r="AE239" s="32"/>
      <c r="AF239" s="32"/>
      <c r="AG239" s="32"/>
    </row>
    <row r="240" ht="23.25" customHeight="1">
      <c r="A240" s="140"/>
      <c r="L240" s="32"/>
      <c r="M240" s="3"/>
      <c r="N240" s="3"/>
      <c r="P240" s="3"/>
      <c r="AE240" s="32"/>
      <c r="AF240" s="32"/>
      <c r="AG240" s="32"/>
    </row>
    <row r="241" ht="23.25" customHeight="1">
      <c r="A241" s="140"/>
      <c r="L241" s="32"/>
      <c r="M241" s="3"/>
      <c r="N241" s="3"/>
      <c r="P241" s="3"/>
      <c r="AE241" s="32"/>
      <c r="AF241" s="32"/>
      <c r="AG241" s="32"/>
    </row>
    <row r="242" ht="23.25" customHeight="1">
      <c r="A242" s="140"/>
      <c r="L242" s="32"/>
      <c r="M242" s="3"/>
      <c r="N242" s="3"/>
      <c r="P242" s="3"/>
      <c r="AE242" s="32"/>
      <c r="AF242" s="32"/>
      <c r="AG242" s="32"/>
    </row>
    <row r="243" ht="23.25" customHeight="1">
      <c r="A243" s="140"/>
      <c r="L243" s="32"/>
      <c r="M243" s="3"/>
      <c r="N243" s="3"/>
      <c r="P243" s="3"/>
      <c r="AE243" s="32"/>
      <c r="AF243" s="32"/>
      <c r="AG243" s="32"/>
    </row>
    <row r="244" ht="23.25" customHeight="1">
      <c r="A244" s="140"/>
      <c r="L244" s="32"/>
      <c r="M244" s="3"/>
      <c r="N244" s="3"/>
      <c r="P244" s="3"/>
      <c r="AE244" s="32"/>
      <c r="AF244" s="32"/>
      <c r="AG244" s="32"/>
    </row>
    <row r="245" ht="23.25" customHeight="1">
      <c r="A245" s="140"/>
      <c r="L245" s="32"/>
      <c r="M245" s="3"/>
      <c r="N245" s="3"/>
      <c r="P245" s="3"/>
      <c r="AE245" s="32"/>
      <c r="AF245" s="32"/>
      <c r="AG245" s="32"/>
    </row>
    <row r="246" ht="23.25" customHeight="1">
      <c r="A246" s="140"/>
      <c r="L246" s="32"/>
      <c r="M246" s="3"/>
      <c r="N246" s="3"/>
      <c r="P246" s="3"/>
      <c r="AE246" s="32"/>
      <c r="AF246" s="32"/>
      <c r="AG246" s="32"/>
    </row>
    <row r="247" ht="23.25" customHeight="1">
      <c r="A247" s="140"/>
      <c r="L247" s="32"/>
      <c r="M247" s="3"/>
      <c r="N247" s="3"/>
      <c r="P247" s="3"/>
      <c r="AE247" s="32"/>
      <c r="AF247" s="32"/>
      <c r="AG247" s="32"/>
    </row>
    <row r="248" ht="23.25" customHeight="1">
      <c r="A248" s="140"/>
      <c r="L248" s="32"/>
      <c r="M248" s="3"/>
      <c r="N248" s="3"/>
      <c r="P248" s="3"/>
      <c r="AE248" s="32"/>
      <c r="AF248" s="32"/>
      <c r="AG248" s="32"/>
    </row>
    <row r="249" ht="23.25" customHeight="1">
      <c r="A249" s="140"/>
      <c r="L249" s="32"/>
      <c r="M249" s="3"/>
      <c r="N249" s="3"/>
      <c r="P249" s="3"/>
      <c r="AE249" s="32"/>
      <c r="AF249" s="32"/>
      <c r="AG249" s="32"/>
    </row>
    <row r="250" ht="23.25" customHeight="1">
      <c r="A250" s="140"/>
      <c r="L250" s="32"/>
      <c r="M250" s="3"/>
      <c r="N250" s="3"/>
      <c r="P250" s="3"/>
      <c r="AE250" s="32"/>
      <c r="AF250" s="32"/>
      <c r="AG250" s="32"/>
    </row>
    <row r="251" ht="23.25" customHeight="1">
      <c r="A251" s="140"/>
      <c r="L251" s="32"/>
      <c r="M251" s="3"/>
      <c r="N251" s="3"/>
      <c r="P251" s="3"/>
      <c r="AE251" s="32"/>
      <c r="AF251" s="32"/>
      <c r="AG251" s="32"/>
    </row>
    <row r="252" ht="23.25" customHeight="1">
      <c r="A252" s="140"/>
      <c r="L252" s="32"/>
      <c r="M252" s="3"/>
      <c r="N252" s="3"/>
      <c r="P252" s="3"/>
      <c r="AE252" s="32"/>
      <c r="AF252" s="32"/>
      <c r="AG252" s="32"/>
    </row>
    <row r="253" ht="23.25" customHeight="1">
      <c r="A253" s="140"/>
      <c r="L253" s="32"/>
      <c r="M253" s="3"/>
      <c r="N253" s="3"/>
      <c r="P253" s="3"/>
      <c r="AE253" s="32"/>
      <c r="AF253" s="32"/>
      <c r="AG253" s="32"/>
    </row>
    <row r="254" ht="23.25" customHeight="1">
      <c r="A254" s="140"/>
      <c r="L254" s="32"/>
      <c r="M254" s="3"/>
      <c r="N254" s="3"/>
      <c r="P254" s="3"/>
      <c r="AE254" s="32"/>
      <c r="AF254" s="32"/>
      <c r="AG254" s="32"/>
    </row>
    <row r="255" ht="23.25" customHeight="1">
      <c r="A255" s="140"/>
      <c r="L255" s="32"/>
      <c r="M255" s="3"/>
      <c r="N255" s="3"/>
      <c r="P255" s="3"/>
      <c r="AE255" s="32"/>
      <c r="AF255" s="32"/>
      <c r="AG255" s="32"/>
    </row>
    <row r="256" ht="23.25" customHeight="1">
      <c r="A256" s="140"/>
      <c r="L256" s="32"/>
      <c r="M256" s="3"/>
      <c r="N256" s="3"/>
      <c r="P256" s="3"/>
      <c r="AE256" s="32"/>
      <c r="AF256" s="32"/>
      <c r="AG256" s="32"/>
    </row>
    <row r="257" ht="23.25" customHeight="1">
      <c r="A257" s="140"/>
      <c r="L257" s="32"/>
      <c r="M257" s="3"/>
      <c r="N257" s="3"/>
      <c r="P257" s="3"/>
      <c r="AE257" s="32"/>
      <c r="AF257" s="32"/>
      <c r="AG257" s="32"/>
    </row>
    <row r="258" ht="23.25" customHeight="1">
      <c r="A258" s="140"/>
      <c r="L258" s="32"/>
      <c r="M258" s="3"/>
      <c r="N258" s="3"/>
      <c r="P258" s="3"/>
      <c r="AE258" s="32"/>
      <c r="AF258" s="32"/>
      <c r="AG258" s="32"/>
    </row>
    <row r="259" ht="23.25" customHeight="1">
      <c r="A259" s="140"/>
      <c r="L259" s="32"/>
      <c r="M259" s="3"/>
      <c r="N259" s="3"/>
      <c r="P259" s="3"/>
      <c r="AE259" s="32"/>
      <c r="AF259" s="32"/>
      <c r="AG259" s="32"/>
    </row>
    <row r="260" ht="23.25" customHeight="1">
      <c r="A260" s="140"/>
      <c r="L260" s="32"/>
      <c r="M260" s="3"/>
      <c r="N260" s="3"/>
      <c r="P260" s="3"/>
      <c r="AE260" s="32"/>
      <c r="AF260" s="32"/>
      <c r="AG260" s="32"/>
    </row>
    <row r="261" ht="23.25" customHeight="1">
      <c r="A261" s="140"/>
      <c r="L261" s="32"/>
      <c r="M261" s="3"/>
      <c r="N261" s="3"/>
      <c r="P261" s="3"/>
      <c r="AE261" s="32"/>
      <c r="AF261" s="32"/>
      <c r="AG261" s="32"/>
    </row>
    <row r="262" ht="23.25" customHeight="1">
      <c r="A262" s="140"/>
      <c r="L262" s="32"/>
      <c r="M262" s="3"/>
      <c r="N262" s="3"/>
      <c r="P262" s="3"/>
      <c r="AE262" s="32"/>
      <c r="AF262" s="32"/>
      <c r="AG262" s="32"/>
    </row>
    <row r="263" ht="23.25" customHeight="1">
      <c r="A263" s="140"/>
      <c r="L263" s="32"/>
      <c r="M263" s="3"/>
      <c r="N263" s="3"/>
      <c r="P263" s="3"/>
      <c r="AE263" s="32"/>
      <c r="AF263" s="32"/>
      <c r="AG263" s="32"/>
    </row>
    <row r="264" ht="23.25" customHeight="1">
      <c r="A264" s="140"/>
      <c r="L264" s="32"/>
      <c r="M264" s="3"/>
      <c r="N264" s="3"/>
      <c r="P264" s="3"/>
      <c r="AE264" s="32"/>
      <c r="AF264" s="32"/>
      <c r="AG264" s="32"/>
    </row>
    <row r="265" ht="23.25" customHeight="1">
      <c r="A265" s="140"/>
      <c r="L265" s="32"/>
      <c r="M265" s="3"/>
      <c r="N265" s="3"/>
      <c r="P265" s="3"/>
      <c r="AE265" s="32"/>
      <c r="AF265" s="32"/>
      <c r="AG265" s="32"/>
    </row>
    <row r="266" ht="23.25" customHeight="1">
      <c r="A266" s="140"/>
      <c r="L266" s="32"/>
      <c r="M266" s="3"/>
      <c r="N266" s="3"/>
      <c r="P266" s="3"/>
      <c r="AE266" s="32"/>
      <c r="AF266" s="32"/>
      <c r="AG266" s="32"/>
    </row>
    <row r="267" ht="23.25" customHeight="1">
      <c r="A267" s="140"/>
      <c r="L267" s="32"/>
      <c r="M267" s="3"/>
      <c r="N267" s="3"/>
      <c r="P267" s="3"/>
      <c r="AE267" s="32"/>
      <c r="AF267" s="32"/>
      <c r="AG267" s="32"/>
    </row>
    <row r="268" ht="23.25" customHeight="1">
      <c r="A268" s="140"/>
      <c r="L268" s="32"/>
      <c r="M268" s="3"/>
      <c r="N268" s="3"/>
      <c r="P268" s="3"/>
      <c r="AE268" s="32"/>
      <c r="AF268" s="32"/>
      <c r="AG268" s="32"/>
    </row>
    <row r="269" ht="23.25" customHeight="1">
      <c r="A269" s="140"/>
      <c r="L269" s="32"/>
      <c r="M269" s="3"/>
      <c r="N269" s="3"/>
      <c r="P269" s="3"/>
      <c r="AE269" s="32"/>
      <c r="AF269" s="32"/>
      <c r="AG269" s="32"/>
    </row>
    <row r="270" ht="23.25" customHeight="1">
      <c r="A270" s="140"/>
      <c r="L270" s="32"/>
      <c r="M270" s="3"/>
      <c r="N270" s="3"/>
      <c r="P270" s="3"/>
      <c r="AE270" s="32"/>
      <c r="AF270" s="32"/>
      <c r="AG270" s="32"/>
    </row>
    <row r="271" ht="23.25" customHeight="1">
      <c r="A271" s="140"/>
      <c r="L271" s="32"/>
      <c r="M271" s="3"/>
      <c r="N271" s="3"/>
      <c r="P271" s="3"/>
      <c r="AE271" s="32"/>
      <c r="AF271" s="32"/>
      <c r="AG271" s="32"/>
    </row>
    <row r="272" ht="23.25" customHeight="1">
      <c r="A272" s="140"/>
      <c r="L272" s="32"/>
      <c r="M272" s="3"/>
      <c r="N272" s="3"/>
      <c r="P272" s="3"/>
      <c r="AE272" s="32"/>
      <c r="AF272" s="32"/>
      <c r="AG272" s="3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5.57"/>
    <col customWidth="1" min="3" max="20" width="8.57"/>
    <col customWidth="1" min="21" max="21" width="12.14"/>
    <col customWidth="1" min="22" max="22" width="8.57"/>
    <col customWidth="1" min="23" max="23" width="12.71"/>
    <col customWidth="1" min="24" max="26" width="10.43"/>
    <col customWidth="1" min="27" max="27" width="11.71"/>
    <col customWidth="1" min="28" max="28" width="12.86"/>
    <col customWidth="1" min="29" max="29" width="13.29"/>
    <col customWidth="1" min="30" max="30" width="14.0"/>
    <col customWidth="1" min="31" max="31" width="15.29"/>
    <col customWidth="1" min="32" max="32" width="10.43"/>
    <col customWidth="1" min="33" max="33" width="17.43"/>
    <col customWidth="1" min="34" max="34" width="16.57"/>
    <col customWidth="1" min="35" max="37" width="12.29"/>
    <col customWidth="1" min="38" max="38" width="10.43"/>
    <col customWidth="1" min="39" max="39" width="14.14"/>
    <col customWidth="1" min="40" max="45" width="10.43"/>
    <col customWidth="1" min="46" max="46" width="13.71"/>
    <col customWidth="1" min="47" max="47" width="10.43"/>
    <col customWidth="1" min="48" max="48" width="13.57"/>
    <col customWidth="1" min="49" max="58" width="10.43"/>
  </cols>
  <sheetData>
    <row r="1" ht="18.75" customHeight="1">
      <c r="B1" s="228" t="s">
        <v>259</v>
      </c>
      <c r="T1" s="135"/>
      <c r="U1" s="135"/>
      <c r="V1" s="3"/>
      <c r="W1" s="3" t="s">
        <v>260</v>
      </c>
      <c r="X1" s="3"/>
      <c r="Y1" s="3"/>
      <c r="Z1" s="3"/>
      <c r="AA1" s="3">
        <v>2.0</v>
      </c>
      <c r="AB1" s="3"/>
      <c r="AC1" s="3"/>
      <c r="AD1" s="108">
        <v>0.6</v>
      </c>
      <c r="AE1" s="108"/>
      <c r="AF1" s="3"/>
      <c r="AG1" s="3">
        <v>1.5</v>
      </c>
      <c r="AH1" s="3"/>
      <c r="AI1" s="3"/>
      <c r="AJ1" s="108">
        <v>0.6</v>
      </c>
      <c r="AK1" s="3"/>
      <c r="AL1" s="3"/>
      <c r="AM1" s="3"/>
      <c r="AN1" s="3"/>
      <c r="AO1" s="3"/>
      <c r="AP1" s="3"/>
      <c r="AQ1" s="3"/>
      <c r="AR1" s="3"/>
    </row>
    <row r="2">
      <c r="A2" s="3"/>
      <c r="B2" s="229" t="s">
        <v>261</v>
      </c>
      <c r="C2" s="230" t="s">
        <v>262</v>
      </c>
      <c r="D2" s="8"/>
      <c r="E2" s="230" t="s">
        <v>3</v>
      </c>
      <c r="F2" s="8"/>
      <c r="G2" s="230" t="s">
        <v>4</v>
      </c>
      <c r="H2" s="8"/>
      <c r="I2" s="230" t="s">
        <v>5</v>
      </c>
      <c r="J2" s="8"/>
      <c r="K2" s="230" t="s">
        <v>6</v>
      </c>
      <c r="L2" s="8"/>
      <c r="M2" s="230" t="s">
        <v>263</v>
      </c>
      <c r="N2" s="8"/>
      <c r="O2" s="230" t="s">
        <v>7</v>
      </c>
      <c r="P2" s="8"/>
      <c r="Q2" s="230" t="s">
        <v>264</v>
      </c>
      <c r="R2" s="8"/>
      <c r="S2" s="165" t="s">
        <v>230</v>
      </c>
      <c r="T2" s="231" t="s">
        <v>265</v>
      </c>
      <c r="U2" s="232" t="s">
        <v>266</v>
      </c>
      <c r="V2" s="233"/>
      <c r="W2" s="3">
        <v>350.0</v>
      </c>
      <c r="X2" s="3"/>
      <c r="Y2" s="3"/>
      <c r="Z2" s="3"/>
      <c r="AA2" s="234" t="s">
        <v>9</v>
      </c>
      <c r="AB2" s="234"/>
      <c r="AC2" s="234"/>
      <c r="AD2" s="234"/>
      <c r="AE2" s="108"/>
      <c r="AF2" s="3"/>
      <c r="AG2" s="234" t="s">
        <v>9</v>
      </c>
      <c r="AH2" s="234"/>
      <c r="AI2" s="234"/>
      <c r="AJ2" s="234"/>
      <c r="AK2" s="3"/>
      <c r="AL2" s="3"/>
      <c r="AM2" s="3"/>
      <c r="AN2" s="3"/>
      <c r="AO2" s="3"/>
      <c r="AP2" s="3"/>
      <c r="AQ2" s="3"/>
      <c r="AR2" s="3"/>
      <c r="AV2" s="218"/>
      <c r="AW2" s="218"/>
    </row>
    <row r="3">
      <c r="A3" s="13"/>
      <c r="B3" s="235" t="s">
        <v>267</v>
      </c>
      <c r="C3" s="236" t="s">
        <v>10</v>
      </c>
      <c r="D3" s="237" t="s">
        <v>11</v>
      </c>
      <c r="E3" s="236" t="s">
        <v>10</v>
      </c>
      <c r="F3" s="237" t="s">
        <v>11</v>
      </c>
      <c r="G3" s="236" t="s">
        <v>10</v>
      </c>
      <c r="H3" s="237" t="s">
        <v>11</v>
      </c>
      <c r="I3" s="236" t="s">
        <v>10</v>
      </c>
      <c r="J3" s="237" t="s">
        <v>11</v>
      </c>
      <c r="K3" s="236" t="s">
        <v>10</v>
      </c>
      <c r="L3" s="237" t="s">
        <v>11</v>
      </c>
      <c r="M3" s="236" t="s">
        <v>10</v>
      </c>
      <c r="N3" s="237" t="s">
        <v>11</v>
      </c>
      <c r="O3" s="236" t="s">
        <v>10</v>
      </c>
      <c r="P3" s="237" t="s">
        <v>11</v>
      </c>
      <c r="Q3" s="238" t="s">
        <v>10</v>
      </c>
      <c r="R3" s="238" t="s">
        <v>11</v>
      </c>
      <c r="S3" s="239" t="s">
        <v>10</v>
      </c>
      <c r="T3" s="240" t="s">
        <v>10</v>
      </c>
      <c r="U3" s="240" t="s">
        <v>10</v>
      </c>
      <c r="V3" s="239"/>
      <c r="W3" s="3"/>
      <c r="X3" s="3"/>
      <c r="Y3" s="3"/>
      <c r="Z3" s="241" t="s">
        <v>268</v>
      </c>
      <c r="AA3" s="242" t="s">
        <v>13</v>
      </c>
      <c r="AB3" s="242" t="s">
        <v>14</v>
      </c>
      <c r="AC3" s="242" t="s">
        <v>15</v>
      </c>
      <c r="AD3" s="242" t="s">
        <v>16</v>
      </c>
      <c r="AE3" s="108"/>
      <c r="AF3" s="241" t="s">
        <v>268</v>
      </c>
      <c r="AG3" s="242" t="s">
        <v>13</v>
      </c>
      <c r="AH3" s="242" t="s">
        <v>14</v>
      </c>
      <c r="AI3" s="242" t="s">
        <v>15</v>
      </c>
      <c r="AJ3" s="242" t="s">
        <v>16</v>
      </c>
      <c r="AK3" s="243"/>
      <c r="AL3" s="3"/>
      <c r="AM3" s="3"/>
      <c r="AN3" s="3"/>
      <c r="AO3" s="3"/>
      <c r="AP3" s="3"/>
      <c r="AQ3" s="3"/>
      <c r="AR3" s="3"/>
      <c r="AV3" s="218"/>
      <c r="AW3" s="218"/>
    </row>
    <row r="4">
      <c r="A4" s="20"/>
      <c r="B4" s="244">
        <v>1.0</v>
      </c>
      <c r="C4" s="245">
        <f>(AC48+AC11)*$AH$48</f>
        <v>226922.9261</v>
      </c>
      <c r="D4" s="245">
        <f>(AC48*AG48+AC11)*AH48</f>
        <v>227182.2761</v>
      </c>
      <c r="E4" s="245">
        <f>(AC48+AC4)*$AH$48</f>
        <v>226446.9756</v>
      </c>
      <c r="F4" s="245">
        <f>(AC48*AG48+AC4)*AH48</f>
        <v>226706.3256</v>
      </c>
      <c r="G4" s="245">
        <f>(AC48+AC5)*$AH$48</f>
        <v>194150.3363</v>
      </c>
      <c r="H4" s="245">
        <f>(AC48*AG48+AC5)*AH48</f>
        <v>194409.6863</v>
      </c>
      <c r="I4" s="245">
        <f>(AC48+AC6)*$AH$48</f>
        <v>142475.7133</v>
      </c>
      <c r="J4" s="245">
        <f>(AC48*AG48+AC6)*AH48</f>
        <v>142735.0633</v>
      </c>
      <c r="K4" s="245">
        <f>(AC48+AC7)*$AH$48</f>
        <v>97260.41813</v>
      </c>
      <c r="L4" s="245">
        <f>(AC48*AG48+AC7)*AH48</f>
        <v>97519.76813</v>
      </c>
      <c r="M4" s="245">
        <f>(AC48+AC8)*$AH$48</f>
        <v>74652.77056</v>
      </c>
      <c r="N4" s="245">
        <f>(AC48*AG48+AC8)*AH48</f>
        <v>74912.12056</v>
      </c>
      <c r="O4" s="245">
        <f>(AC48+AC9)*AH$48</f>
        <v>58504.45088</v>
      </c>
      <c r="P4" s="245">
        <f>(AC48*AG48+AC9)*AH48</f>
        <v>58763.80088</v>
      </c>
      <c r="Q4" s="245">
        <f>(AC48+AC10)*AH$48</f>
        <v>58504.45088</v>
      </c>
      <c r="R4" s="245">
        <f>(AC48*AG48+AC10)*AH48</f>
        <v>58763.80088</v>
      </c>
      <c r="S4" s="246">
        <f>(AC48+AC12)*AH48</f>
        <v>523393</v>
      </c>
      <c r="T4" s="247">
        <f>(AC48+$AC$14)*AH48+AC5</f>
        <v>104248.0315</v>
      </c>
      <c r="U4" s="248">
        <f t="shared" ref="U4:U11" si="1">(AC48+$AC$13*AF48)*AH48</f>
        <v>1341.8275</v>
      </c>
      <c r="V4" s="245"/>
      <c r="W4" s="3">
        <v>460.0</v>
      </c>
      <c r="X4" s="3">
        <v>588.0</v>
      </c>
      <c r="Y4" s="3"/>
      <c r="Z4" s="249" t="s">
        <v>3</v>
      </c>
      <c r="AA4" s="250">
        <f>AG4*$AM$38*AA18</f>
        <v>212270.058</v>
      </c>
      <c r="AB4" s="250">
        <f>AH4*$AM$38</f>
        <v>141513.372</v>
      </c>
      <c r="AC4" s="250">
        <f t="shared" ref="AC4:AC13" si="3">AI4*$AM$38*AC18</f>
        <v>118987.6188</v>
      </c>
      <c r="AD4" s="250">
        <f t="shared" ref="AD4:AD13" si="4">AJ4*$AM$38</f>
        <v>71392.57125</v>
      </c>
      <c r="AE4" s="251">
        <f t="shared" ref="AE4:AE13" si="5">AC4</f>
        <v>118987.6188</v>
      </c>
      <c r="AF4" s="249" t="s">
        <v>3</v>
      </c>
      <c r="AG4" s="252">
        <f t="shared" ref="AG4:AG12" si="6">AH4*$AG$1</f>
        <v>326.56932</v>
      </c>
      <c r="AH4" s="252">
        <f>'PAPEL US$'!I24</f>
        <v>217.71288</v>
      </c>
      <c r="AI4" s="252">
        <f>'PAPEL US$'!J23</f>
        <v>183.057875</v>
      </c>
      <c r="AJ4" s="252">
        <f t="shared" ref="AJ4:AJ12" si="7">AI4*$AJ$1</f>
        <v>109.834725</v>
      </c>
      <c r="AK4" s="253"/>
      <c r="AL4" s="3"/>
      <c r="AM4" s="3"/>
      <c r="AN4" s="3">
        <v>28.0</v>
      </c>
      <c r="AO4" s="3">
        <v>71.0</v>
      </c>
      <c r="AP4" s="3"/>
      <c r="AQ4" s="3">
        <v>2.2</v>
      </c>
      <c r="AR4" s="3"/>
    </row>
    <row r="5">
      <c r="A5" s="3"/>
      <c r="B5" s="254" t="s">
        <v>179</v>
      </c>
      <c r="C5" s="245">
        <f>(AC49+AC11)*$AH$49</f>
        <v>203036.3023</v>
      </c>
      <c r="D5" s="245">
        <f>(AC49*AG49+AC11)*AH49</f>
        <v>203268.3523</v>
      </c>
      <c r="E5" s="245">
        <f>(AC49+AC4)*AH$49</f>
        <v>202610.4519</v>
      </c>
      <c r="F5" s="245">
        <f>(AC49*AG49+AC4)*AH49</f>
        <v>202842.5019</v>
      </c>
      <c r="G5" s="245">
        <f>(AC49+AC5)*$AH$49</f>
        <v>173713.4588</v>
      </c>
      <c r="H5" s="245">
        <f>(AC49*AG49+AC5)*AH49</f>
        <v>173945.5088</v>
      </c>
      <c r="I5" s="245">
        <f>(AC49+AC6)*$AH$49</f>
        <v>127478.2698</v>
      </c>
      <c r="J5" s="245">
        <f>(AC49*AG49+AC6)*AH49</f>
        <v>127710.3198</v>
      </c>
      <c r="K5" s="245">
        <f>(AC49+AC7)*$AH$49</f>
        <v>87022.47938</v>
      </c>
      <c r="L5" s="245">
        <f>(AC49*AG49+AC7)*AH49</f>
        <v>87254.52938</v>
      </c>
      <c r="M5" s="245">
        <f>(AC49+AC8)*$AH$49</f>
        <v>66794.58419</v>
      </c>
      <c r="N5" s="245">
        <f>(AC49*AG49+AC8)*AH49</f>
        <v>67026.63419</v>
      </c>
      <c r="O5" s="245">
        <f>(AC49+AC9)*AH$49</f>
        <v>52346.08763</v>
      </c>
      <c r="P5" s="245">
        <f>(AC49*AG49+AC9)*AH49</f>
        <v>52578.13763</v>
      </c>
      <c r="Q5" s="245">
        <f>(AC49+AC10)*AH$49</f>
        <v>52346.08763</v>
      </c>
      <c r="R5" s="245">
        <f t="shared" ref="R5:R6" si="8">(AC49*AG49+AC9)*AH49</f>
        <v>52578.13763</v>
      </c>
      <c r="S5" s="246">
        <f>(AC49+$AC$12*AF49)*$AH$49</f>
        <v>468299</v>
      </c>
      <c r="T5" s="247">
        <f>(AC49+$AC$14)*AH49+AC5</f>
        <v>104010.2795</v>
      </c>
      <c r="U5" s="248">
        <f t="shared" si="1"/>
        <v>1200.5825</v>
      </c>
      <c r="V5" s="245"/>
      <c r="W5" s="3">
        <v>436.0</v>
      </c>
      <c r="X5" s="3">
        <v>557.0</v>
      </c>
      <c r="Y5" s="3"/>
      <c r="Z5" s="249" t="s">
        <v>4</v>
      </c>
      <c r="AA5" s="250">
        <f t="shared" ref="AA5:AB5" si="2">AG5*$AM$38</f>
        <v>181945.764</v>
      </c>
      <c r="AB5" s="250">
        <f t="shared" si="2"/>
        <v>121297.176</v>
      </c>
      <c r="AC5" s="250">
        <f t="shared" si="3"/>
        <v>101989.3875</v>
      </c>
      <c r="AD5" s="250">
        <f t="shared" si="4"/>
        <v>61193.6325</v>
      </c>
      <c r="AE5" s="251">
        <f t="shared" si="5"/>
        <v>101989.3875</v>
      </c>
      <c r="AF5" s="249" t="s">
        <v>4</v>
      </c>
      <c r="AG5" s="252">
        <f t="shared" si="6"/>
        <v>279.91656</v>
      </c>
      <c r="AH5" s="252">
        <f>'PAPEL US$'!I21</f>
        <v>186.61104</v>
      </c>
      <c r="AI5" s="252">
        <f>'PAPEL US$'!J20</f>
        <v>156.90675</v>
      </c>
      <c r="AJ5" s="252">
        <f t="shared" si="7"/>
        <v>94.14405</v>
      </c>
      <c r="AK5" s="253"/>
      <c r="AL5" s="3"/>
      <c r="AM5" s="3"/>
      <c r="AN5" s="3"/>
      <c r="AO5" s="3"/>
      <c r="AP5" s="3"/>
      <c r="AQ5" s="3">
        <v>2.0</v>
      </c>
      <c r="AR5" s="3"/>
    </row>
    <row r="6">
      <c r="A6" s="3"/>
      <c r="B6" s="254" t="s">
        <v>180</v>
      </c>
      <c r="C6" s="245">
        <f>(AC50+AC11)*$AH$50</f>
        <v>197064.6464</v>
      </c>
      <c r="D6" s="245">
        <f>(AC50*AG50+AC11)*AH50</f>
        <v>197289.8714</v>
      </c>
      <c r="E6" s="245">
        <f>(AC50+AC4)*AH$50</f>
        <v>196651.3209</v>
      </c>
      <c r="F6" s="245">
        <f>(AC50*AG50+AC4)*AH50</f>
        <v>196876.5459</v>
      </c>
      <c r="G6" s="245">
        <f>(AC50+AC5)*$AH$50</f>
        <v>168604.2394</v>
      </c>
      <c r="H6" s="245">
        <f>(AC50*AG50+AC5)*AH50</f>
        <v>168829.4644</v>
      </c>
      <c r="I6" s="245">
        <f>(AC50+AC6)*$AH$50</f>
        <v>123728.9089</v>
      </c>
      <c r="J6" s="245">
        <f>(AC50*AG50+AC6)*AH50</f>
        <v>123954.1339</v>
      </c>
      <c r="K6" s="245">
        <f>(AC50+AC7)*$AH$50</f>
        <v>84462.99469</v>
      </c>
      <c r="L6" s="245">
        <f>(AC50*AG50+AC7)*AH50</f>
        <v>84688.21969</v>
      </c>
      <c r="M6" s="245">
        <f>(AC50+AC8)*$AH$50</f>
        <v>64830.03759</v>
      </c>
      <c r="N6" s="245">
        <f>(AC50*AG50+AC8)*AH50</f>
        <v>65055.26259</v>
      </c>
      <c r="O6" s="245">
        <f>(AC50+AC9)*AH$50</f>
        <v>50806.49681</v>
      </c>
      <c r="P6" s="245">
        <f>(AC50*AG50+AC9)*AH50</f>
        <v>51031.72181</v>
      </c>
      <c r="Q6" s="245">
        <f>(AC50+AC10)*AH$50</f>
        <v>50806.49681</v>
      </c>
      <c r="R6" s="245">
        <f t="shared" si="8"/>
        <v>51031.72181</v>
      </c>
      <c r="S6" s="246">
        <f>(AC50+$AC$12*AF50)*$AH$50</f>
        <v>454525.5</v>
      </c>
      <c r="T6" s="247">
        <f>(AC50+$AC$14)*AH50+AC5</f>
        <v>103950.8415</v>
      </c>
      <c r="U6" s="248">
        <f t="shared" si="1"/>
        <v>1165.27125</v>
      </c>
      <c r="V6" s="245"/>
      <c r="W6" s="3">
        <v>412.0</v>
      </c>
      <c r="X6" s="3">
        <v>526.0</v>
      </c>
      <c r="Y6" s="3"/>
      <c r="Z6" s="249" t="s">
        <v>5</v>
      </c>
      <c r="AA6" s="250">
        <f t="shared" ref="AA6:AB6" si="9">AG6*$AM$38</f>
        <v>133426.8936</v>
      </c>
      <c r="AB6" s="250">
        <f t="shared" si="9"/>
        <v>88951.2624</v>
      </c>
      <c r="AC6" s="250">
        <f t="shared" si="3"/>
        <v>74792.2175</v>
      </c>
      <c r="AD6" s="250">
        <f t="shared" si="4"/>
        <v>44875.3305</v>
      </c>
      <c r="AE6" s="251">
        <f t="shared" si="5"/>
        <v>74792.2175</v>
      </c>
      <c r="AF6" s="249" t="s">
        <v>5</v>
      </c>
      <c r="AG6" s="252">
        <f t="shared" si="6"/>
        <v>205.272144</v>
      </c>
      <c r="AH6" s="252">
        <f>'PAPEL US$'!I18</f>
        <v>136.848096</v>
      </c>
      <c r="AI6" s="252">
        <f>'PAPEL US$'!J13</f>
        <v>115.06495</v>
      </c>
      <c r="AJ6" s="252">
        <f t="shared" si="7"/>
        <v>69.03897</v>
      </c>
      <c r="AK6" s="253"/>
      <c r="AL6" s="3"/>
      <c r="AM6" s="3"/>
      <c r="AN6" s="3"/>
      <c r="AO6" s="3"/>
      <c r="AP6" s="3"/>
      <c r="AQ6" s="3">
        <v>1.8</v>
      </c>
      <c r="AR6" s="3"/>
    </row>
    <row r="7">
      <c r="A7" s="3"/>
      <c r="B7" s="254" t="s">
        <v>181</v>
      </c>
      <c r="C7" s="245">
        <f>(AC51+AC11)*$AH$51</f>
        <v>191092.9904</v>
      </c>
      <c r="D7" s="245">
        <f>(AC51*AG51+AC11)*AH51</f>
        <v>191311.3904</v>
      </c>
      <c r="E7" s="245">
        <f>(AC51+AC4)*AH$51</f>
        <v>190692.19</v>
      </c>
      <c r="F7" s="245">
        <f>(AC51*AG51+AC4)*AH51</f>
        <v>190910.59</v>
      </c>
      <c r="G7" s="245">
        <f>(AC51+AC5)*$AH$51</f>
        <v>163495.02</v>
      </c>
      <c r="H7" s="245">
        <f>(AC51*AG51+AC5)*AH51</f>
        <v>163713.42</v>
      </c>
      <c r="I7" s="245">
        <f>(AC51+AC6)*$AH$51</f>
        <v>119979.548</v>
      </c>
      <c r="J7" s="245">
        <f>(AC51*AG51+AC6)*AH51</f>
        <v>120197.948</v>
      </c>
      <c r="K7" s="245">
        <f>(AC51+AC7)*$AH$51</f>
        <v>81903.51</v>
      </c>
      <c r="L7" s="245">
        <f>(AC51*AG51+AC7)*AH51</f>
        <v>82121.91</v>
      </c>
      <c r="M7" s="245">
        <f>(AC51+AC8)*$AH$51</f>
        <v>62865.491</v>
      </c>
      <c r="N7" s="245">
        <f>(AC51*AG51+AC8)*AH51</f>
        <v>63083.891</v>
      </c>
      <c r="O7" s="245">
        <f>(AC51+AC9)*AH$51</f>
        <v>49266.906</v>
      </c>
      <c r="P7" s="245">
        <f>(AC51*AG51+AC9)*AH51</f>
        <v>49485.306</v>
      </c>
      <c r="Q7" s="245">
        <f>(AC51+AC10)*AH$51</f>
        <v>49266.906</v>
      </c>
      <c r="R7" s="245">
        <f>(AC51*AG51+AC10)*AH51</f>
        <v>49485.306</v>
      </c>
      <c r="S7" s="246">
        <f>(AC51+$AC$12*AF51)*$AH$51</f>
        <v>440752</v>
      </c>
      <c r="T7" s="247">
        <f>(AC51+$AC$14)*AH51+AC5</f>
        <v>103891.4035</v>
      </c>
      <c r="U7" s="248">
        <f t="shared" si="1"/>
        <v>1129.96</v>
      </c>
      <c r="V7" s="245"/>
      <c r="W7" s="3">
        <v>388.0</v>
      </c>
      <c r="X7" s="3">
        <v>495.0</v>
      </c>
      <c r="Y7" s="3"/>
      <c r="Z7" s="249" t="s">
        <v>6</v>
      </c>
      <c r="AA7" s="250">
        <f t="shared" ref="AA7:AB7" si="10">AG7*$AM$38</f>
        <v>90972.882</v>
      </c>
      <c r="AB7" s="250">
        <f t="shared" si="10"/>
        <v>60648.588</v>
      </c>
      <c r="AC7" s="250">
        <f t="shared" si="3"/>
        <v>50994.69375</v>
      </c>
      <c r="AD7" s="250">
        <f t="shared" si="4"/>
        <v>30596.81625</v>
      </c>
      <c r="AE7" s="251">
        <f t="shared" si="5"/>
        <v>50994.69375</v>
      </c>
      <c r="AF7" s="249" t="s">
        <v>6</v>
      </c>
      <c r="AG7" s="252">
        <f t="shared" si="6"/>
        <v>139.95828</v>
      </c>
      <c r="AH7" s="252">
        <f>'PAPEL US$'!I17</f>
        <v>93.30552</v>
      </c>
      <c r="AI7" s="252">
        <f>'PAPEL US$'!J12</f>
        <v>78.453375</v>
      </c>
      <c r="AJ7" s="252">
        <f t="shared" si="7"/>
        <v>47.072025</v>
      </c>
      <c r="AK7" s="3"/>
      <c r="AL7" s="3"/>
      <c r="AM7" s="3"/>
      <c r="AN7" s="3"/>
      <c r="AO7" s="3"/>
      <c r="AP7" s="3"/>
      <c r="AQ7" s="3">
        <v>1.7</v>
      </c>
      <c r="AR7" s="3"/>
    </row>
    <row r="8">
      <c r="A8" s="3"/>
      <c r="B8" s="254" t="s">
        <v>182</v>
      </c>
      <c r="C8" s="245">
        <f>(AC52+AC11)*AH$52</f>
        <v>185121.3345</v>
      </c>
      <c r="D8" s="245">
        <f>(AC52*AG52+AC11)*AH52</f>
        <v>185332.9095</v>
      </c>
      <c r="E8" s="245">
        <f>(AC52+AC4)*AH$52</f>
        <v>184733.0591</v>
      </c>
      <c r="F8" s="245">
        <f>(AC52*AG52+AC4)*AH52</f>
        <v>184944.6341</v>
      </c>
      <c r="G8" s="245">
        <f>(AC52+AC5)*$AH$52</f>
        <v>158385.8006</v>
      </c>
      <c r="H8" s="245">
        <f>(AC52*AG52+AC5)*AH52</f>
        <v>158597.3756</v>
      </c>
      <c r="I8" s="245">
        <f>(AC52+AC6)*$AH$52</f>
        <v>116230.1871</v>
      </c>
      <c r="J8" s="245">
        <f>(AC52*AG52+AC6)*AH52</f>
        <v>116441.7621</v>
      </c>
      <c r="K8" s="245">
        <f>(AC52+AC7)*$AH$52</f>
        <v>79344.02531</v>
      </c>
      <c r="L8" s="245">
        <f>(AC52*AG52+AC7)*AH52</f>
        <v>79555.60031</v>
      </c>
      <c r="M8" s="245">
        <f>(AC52+AC8)*$AH$52</f>
        <v>60900.94441</v>
      </c>
      <c r="N8" s="245">
        <f>(AC52*AG52+AC8)*AH52</f>
        <v>61112.51941</v>
      </c>
      <c r="O8" s="245">
        <f>(AC52+AC9)*AH$52</f>
        <v>47727.31519</v>
      </c>
      <c r="P8" s="245">
        <f>(AC52*AG52+AC9)*AH52</f>
        <v>47938.89019</v>
      </c>
      <c r="Q8" s="245">
        <f>(AC52+AC10)*AH$52</f>
        <v>47727.31519</v>
      </c>
      <c r="R8" s="245">
        <f>(AC52*AG52+AC10)*AH52</f>
        <v>47938.89019</v>
      </c>
      <c r="S8" s="246">
        <f>(AC52+$AC$12*AF52)*$AH$52</f>
        <v>426978.5</v>
      </c>
      <c r="T8" s="247">
        <f>(AC52+$AC$14)*AH52+AC5</f>
        <v>103831.9655</v>
      </c>
      <c r="U8" s="248">
        <f t="shared" si="1"/>
        <v>1094.64875</v>
      </c>
      <c r="V8" s="245"/>
      <c r="W8" s="3">
        <v>363.0</v>
      </c>
      <c r="X8" s="3">
        <v>464.0</v>
      </c>
      <c r="Y8" s="3"/>
      <c r="Z8" s="249" t="s">
        <v>263</v>
      </c>
      <c r="AA8" s="250">
        <f t="shared" ref="AA8:AB8" si="11">AG8*$AM$38</f>
        <v>69745.8762</v>
      </c>
      <c r="AB8" s="250">
        <f t="shared" si="11"/>
        <v>46497.2508</v>
      </c>
      <c r="AC8" s="250">
        <f t="shared" si="3"/>
        <v>39095.93188</v>
      </c>
      <c r="AD8" s="250">
        <f t="shared" si="4"/>
        <v>23457.55913</v>
      </c>
      <c r="AE8" s="251">
        <f t="shared" si="5"/>
        <v>39095.93188</v>
      </c>
      <c r="AF8" s="249" t="s">
        <v>263</v>
      </c>
      <c r="AG8" s="252">
        <f t="shared" si="6"/>
        <v>107.301348</v>
      </c>
      <c r="AH8" s="252">
        <f>'PAPEL US$'!I16</f>
        <v>71.534232</v>
      </c>
      <c r="AI8" s="252">
        <f>'PAPEL US$'!J11</f>
        <v>60.1475875</v>
      </c>
      <c r="AJ8" s="252">
        <f t="shared" si="7"/>
        <v>36.0885525</v>
      </c>
      <c r="AK8" s="3"/>
      <c r="AL8" s="3"/>
      <c r="AM8" s="3"/>
      <c r="AN8" s="3"/>
      <c r="AO8" s="3"/>
      <c r="AP8" s="3"/>
      <c r="AQ8" s="3"/>
      <c r="AR8" s="3"/>
    </row>
    <row r="9">
      <c r="A9" s="3"/>
      <c r="B9" s="254" t="s">
        <v>18</v>
      </c>
      <c r="C9" s="245">
        <f>(AC53+AC11)*AH$53</f>
        <v>179149.6785</v>
      </c>
      <c r="D9" s="245">
        <f>(AC53*AG52+AC11)*AH53</f>
        <v>179354.4285</v>
      </c>
      <c r="E9" s="245">
        <f>(AC53+AC4)*AH$53</f>
        <v>178773.9281</v>
      </c>
      <c r="F9" s="245">
        <f>(AC53*AG53+AC4)*AH53</f>
        <v>178978.6781</v>
      </c>
      <c r="G9" s="245">
        <f>(AC53+AC5)*$AH$53</f>
        <v>153276.5813</v>
      </c>
      <c r="H9" s="245">
        <f>(AC53*AG53+AC5)*AH53</f>
        <v>153481.3313</v>
      </c>
      <c r="I9" s="245">
        <f>(AC53+AC6)*$AH$53</f>
        <v>112480.8263</v>
      </c>
      <c r="J9" s="245">
        <f>(AC53*AG53+AC6)*AH53</f>
        <v>112685.5763</v>
      </c>
      <c r="K9" s="245">
        <f>(AC53+AC7)*$AH$53</f>
        <v>76784.54063</v>
      </c>
      <c r="L9" s="245">
        <f>(AC53*AG53+AC7)*AH53</f>
        <v>76989.29063</v>
      </c>
      <c r="M9" s="245">
        <f>(AC53+AC8)*$AH$53</f>
        <v>58936.39781</v>
      </c>
      <c r="N9" s="245">
        <f>(AC53*AG53+AC8)*AH53</f>
        <v>59141.14781</v>
      </c>
      <c r="O9" s="245">
        <f>(AC53+AC9)*AH$53</f>
        <v>46187.72438</v>
      </c>
      <c r="P9" s="245">
        <f>(AC53*AG53+AC9)*AH53</f>
        <v>46392.47438</v>
      </c>
      <c r="Q9" s="245">
        <f>(AC53+AC10)*AH$53</f>
        <v>46187.72438</v>
      </c>
      <c r="R9" s="245">
        <f>(AC53*AG53+AC10)*AH53</f>
        <v>46392.47438</v>
      </c>
      <c r="S9" s="246">
        <f>(AC53+$AC$12*AF53)*$AH$53</f>
        <v>413205</v>
      </c>
      <c r="T9" s="247">
        <f>(AC53+$AC$14)*AH53+AC5</f>
        <v>103772.5275</v>
      </c>
      <c r="U9" s="248">
        <f t="shared" si="1"/>
        <v>1059.3375</v>
      </c>
      <c r="V9" s="245"/>
      <c r="W9" s="3">
        <v>339.0</v>
      </c>
      <c r="X9" s="3">
        <v>433.0</v>
      </c>
      <c r="Y9" s="3"/>
      <c r="Z9" s="249" t="s">
        <v>7</v>
      </c>
      <c r="AA9" s="250">
        <f t="shared" ref="AA9:AB9" si="12">AG9*$AM$38</f>
        <v>54583.7292</v>
      </c>
      <c r="AB9" s="250">
        <f t="shared" si="12"/>
        <v>36389.1528</v>
      </c>
      <c r="AC9" s="250">
        <f t="shared" si="3"/>
        <v>30596.81625</v>
      </c>
      <c r="AD9" s="250">
        <f t="shared" si="4"/>
        <v>18358.08975</v>
      </c>
      <c r="AE9" s="251">
        <f t="shared" si="5"/>
        <v>30596.81625</v>
      </c>
      <c r="AF9" s="249" t="s">
        <v>7</v>
      </c>
      <c r="AG9" s="252">
        <f t="shared" si="6"/>
        <v>83.974968</v>
      </c>
      <c r="AH9" s="252">
        <f>'PAPEL US$'!I15</f>
        <v>55.983312</v>
      </c>
      <c r="AI9" s="252">
        <f>'PAPEL US$'!J10</f>
        <v>47.072025</v>
      </c>
      <c r="AJ9" s="252">
        <f t="shared" si="7"/>
        <v>28.243215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255" t="s">
        <v>19</v>
      </c>
      <c r="C10" s="256">
        <f>(AC54+AC11)*AH$54</f>
        <v>173178.0226</v>
      </c>
      <c r="D10" s="256">
        <f>(AC54*AG54+AC11)*AH54</f>
        <v>173375.9476</v>
      </c>
      <c r="E10" s="256">
        <f>(AC54+AC4)*AH$54</f>
        <v>172814.7972</v>
      </c>
      <c r="F10" s="256">
        <f>(AC54*AG54+AC4)*AH54</f>
        <v>173012.7222</v>
      </c>
      <c r="G10" s="256">
        <f>(AC54+AC5)*$AH$54</f>
        <v>148167.3619</v>
      </c>
      <c r="H10" s="256">
        <f>(AC54*AG54+AC5)*AH54</f>
        <v>148365.2869</v>
      </c>
      <c r="I10" s="256">
        <f>(AC54+AC6)*$AH$54</f>
        <v>108731.4654</v>
      </c>
      <c r="J10" s="256">
        <f>(AC54*AG54+AC6)*AH54</f>
        <v>108929.3904</v>
      </c>
      <c r="K10" s="256">
        <f>(AC54+AC7)*$AH$54</f>
        <v>74225.05594</v>
      </c>
      <c r="L10" s="256">
        <f>(AC54*AG54+AC7)*AH54</f>
        <v>74422.98094</v>
      </c>
      <c r="M10" s="256">
        <f>(AC54+AC8)*$AH$54</f>
        <v>56971.85122</v>
      </c>
      <c r="N10" s="256">
        <f>(AC54*AG54+AC8)*AH54</f>
        <v>57169.77622</v>
      </c>
      <c r="O10" s="256">
        <f>(AC54+AC9)*AH$54</f>
        <v>44648.13356</v>
      </c>
      <c r="P10" s="256">
        <f>(AC54*AG54+AC9)*AH54</f>
        <v>44846.05856</v>
      </c>
      <c r="Q10" s="256">
        <f>(AC54+AC10)*AH$54</f>
        <v>44648.13356</v>
      </c>
      <c r="R10" s="256">
        <f>(AC54*AG54+AC10)*AH54</f>
        <v>44846.05856</v>
      </c>
      <c r="S10" s="257">
        <f>(AC54+$AC$12*AF54)*$AH$54</f>
        <v>399431.5</v>
      </c>
      <c r="T10" s="258">
        <f>(AC54+$AC$14)*AH54+AC5</f>
        <v>103713.0895</v>
      </c>
      <c r="U10" s="248">
        <f t="shared" si="1"/>
        <v>1024.02625</v>
      </c>
      <c r="V10" s="245"/>
      <c r="W10" s="3">
        <v>315.0</v>
      </c>
      <c r="X10" s="3">
        <v>402.0</v>
      </c>
      <c r="Y10" s="3"/>
      <c r="Z10" s="249" t="s">
        <v>269</v>
      </c>
      <c r="AA10" s="250">
        <f t="shared" ref="AA10:AB10" si="13">AG10*$AM$38</f>
        <v>54583.7292</v>
      </c>
      <c r="AB10" s="250">
        <f t="shared" si="13"/>
        <v>36389.1528</v>
      </c>
      <c r="AC10" s="250">
        <f t="shared" si="3"/>
        <v>30596.81625</v>
      </c>
      <c r="AD10" s="250">
        <f t="shared" si="4"/>
        <v>18358.08975</v>
      </c>
      <c r="AE10" s="251">
        <f t="shared" si="5"/>
        <v>30596.81625</v>
      </c>
      <c r="AF10" s="249" t="s">
        <v>269</v>
      </c>
      <c r="AG10" s="252">
        <f t="shared" si="6"/>
        <v>83.974968</v>
      </c>
      <c r="AH10" s="252">
        <f>'PAPEL US$'!I8</f>
        <v>55.983312</v>
      </c>
      <c r="AI10" s="252">
        <f>'PAPEL US$'!J6</f>
        <v>47.072025</v>
      </c>
      <c r="AJ10" s="252">
        <f t="shared" si="7"/>
        <v>28.243215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>
      <c r="A11" s="3"/>
      <c r="B11" s="259">
        <v>1000.0</v>
      </c>
      <c r="C11" s="260">
        <f>(AC55+AC11)*AH$55</f>
        <v>167206.3666</v>
      </c>
      <c r="D11" s="260">
        <f>(AC55*AG55+AC11)*AH55</f>
        <v>167397.4666</v>
      </c>
      <c r="E11" s="260">
        <f>(AC55+AC4)*AH$55</f>
        <v>166855.6663</v>
      </c>
      <c r="F11" s="260">
        <f>(AC55*AG55+AC4)*AH55</f>
        <v>167046.7663</v>
      </c>
      <c r="G11" s="260">
        <f>(AC55+AC5)*$AH$55</f>
        <v>143058.1425</v>
      </c>
      <c r="H11" s="260">
        <f>(AC55*AG55+AC5)*AH55</f>
        <v>143249.2425</v>
      </c>
      <c r="I11" s="260">
        <f>(AC55+AC6)*$AH$55</f>
        <v>104982.1045</v>
      </c>
      <c r="J11" s="260">
        <f>(AC55*AG55+AC6)*AH55</f>
        <v>105173.2045</v>
      </c>
      <c r="K11" s="260">
        <f>(AC55+AC7)*$AH$55</f>
        <v>71665.57125</v>
      </c>
      <c r="L11" s="260">
        <f>(AC55*AG55+AC7)*AH55</f>
        <v>71856.67125</v>
      </c>
      <c r="M11" s="260">
        <f>(AC55+AC8)*$AH$55</f>
        <v>55007.30463</v>
      </c>
      <c r="N11" s="260">
        <f>(AC55*AG55+AC8)*AH55</f>
        <v>55198.40463</v>
      </c>
      <c r="O11" s="260">
        <f>(AC55+AC9)*AH$55</f>
        <v>43108.54275</v>
      </c>
      <c r="P11" s="260">
        <f>(AC55*AG55+AC9)*AH55</f>
        <v>43299.64275</v>
      </c>
      <c r="Q11" s="260">
        <f>(AC55+AC10)*AH$55</f>
        <v>43108.54275</v>
      </c>
      <c r="R11" s="260">
        <f>(AC55*AG55+AC10)*AH55</f>
        <v>43299.64275</v>
      </c>
      <c r="S11" s="260">
        <f>(AC55+$AC$12*AF55)*$AH$55</f>
        <v>385658</v>
      </c>
      <c r="T11" s="261">
        <f>(AC55+$AC$14)*AH55+AC5</f>
        <v>103653.6515</v>
      </c>
      <c r="U11" s="245">
        <f t="shared" si="1"/>
        <v>988.715</v>
      </c>
      <c r="V11" s="245"/>
      <c r="W11" s="3">
        <v>291.0</v>
      </c>
      <c r="X11" s="3">
        <v>371.0</v>
      </c>
      <c r="Y11" s="3"/>
      <c r="Z11" s="249" t="s">
        <v>262</v>
      </c>
      <c r="AA11" s="250">
        <f t="shared" ref="AA11:AB11" si="14">AG11*$AM$38</f>
        <v>178857.1785</v>
      </c>
      <c r="AB11" s="250">
        <f t="shared" si="14"/>
        <v>119238.119</v>
      </c>
      <c r="AC11" s="250">
        <f t="shared" si="3"/>
        <v>119238.119</v>
      </c>
      <c r="AD11" s="250">
        <f t="shared" si="4"/>
        <v>71542.8714</v>
      </c>
      <c r="AE11" s="251">
        <f t="shared" si="5"/>
        <v>119238.119</v>
      </c>
      <c r="AF11" s="249" t="s">
        <v>262</v>
      </c>
      <c r="AG11" s="252">
        <f t="shared" si="6"/>
        <v>275.16489</v>
      </c>
      <c r="AH11" s="252">
        <f>'PAPEL US$'!I29</f>
        <v>183.44326</v>
      </c>
      <c r="AI11" s="252">
        <f>'PAPEL US$'!J29</f>
        <v>183.44326</v>
      </c>
      <c r="AJ11" s="252">
        <f t="shared" si="7"/>
        <v>110.065956</v>
      </c>
      <c r="AK11" s="3"/>
      <c r="AL11" s="3"/>
      <c r="AM11" s="3"/>
      <c r="AN11" s="3"/>
      <c r="AO11" s="3"/>
      <c r="AP11" s="3"/>
      <c r="AQ11" s="3"/>
      <c r="AR11" s="3"/>
    </row>
    <row r="12">
      <c r="A12" s="3"/>
      <c r="B12" s="229" t="s">
        <v>270</v>
      </c>
      <c r="C12" s="230" t="s">
        <v>262</v>
      </c>
      <c r="D12" s="8"/>
      <c r="E12" s="230" t="s">
        <v>3</v>
      </c>
      <c r="F12" s="8"/>
      <c r="G12" s="262" t="s">
        <v>4</v>
      </c>
      <c r="H12" s="8"/>
      <c r="I12" s="230" t="s">
        <v>5</v>
      </c>
      <c r="J12" s="8"/>
      <c r="K12" s="230" t="s">
        <v>6</v>
      </c>
      <c r="L12" s="8"/>
      <c r="M12" s="230" t="s">
        <v>263</v>
      </c>
      <c r="N12" s="8"/>
      <c r="O12" s="230" t="s">
        <v>7</v>
      </c>
      <c r="P12" s="8"/>
      <c r="Q12" s="230" t="s">
        <v>271</v>
      </c>
      <c r="R12" s="8"/>
      <c r="S12" s="165" t="s">
        <v>230</v>
      </c>
      <c r="T12" s="135"/>
      <c r="U12" s="135"/>
      <c r="V12" s="3"/>
      <c r="W12" s="3"/>
      <c r="X12" s="3"/>
      <c r="Y12" s="3"/>
      <c r="Z12" s="249" t="s">
        <v>230</v>
      </c>
      <c r="AA12" s="250">
        <f t="shared" ref="AA12:AB12" si="15">AG12*$AM$38</f>
        <v>495495</v>
      </c>
      <c r="AB12" s="250">
        <f t="shared" si="15"/>
        <v>330330</v>
      </c>
      <c r="AC12" s="250">
        <f t="shared" si="3"/>
        <v>275275</v>
      </c>
      <c r="AD12" s="250">
        <f t="shared" si="4"/>
        <v>165165</v>
      </c>
      <c r="AE12" s="251">
        <f t="shared" si="5"/>
        <v>275275</v>
      </c>
      <c r="AF12" s="249" t="s">
        <v>230</v>
      </c>
      <c r="AG12" s="252">
        <f t="shared" si="6"/>
        <v>762.3</v>
      </c>
      <c r="AH12" s="252">
        <f>'PAPEL US$'!L33</f>
        <v>508.2</v>
      </c>
      <c r="AI12" s="252">
        <f>'PAPEL US$'!J31</f>
        <v>423.5</v>
      </c>
      <c r="AJ12" s="252">
        <f t="shared" si="7"/>
        <v>254.1</v>
      </c>
      <c r="AK12" s="3"/>
      <c r="AL12" s="3"/>
      <c r="AM12" s="3"/>
      <c r="AN12" s="3"/>
      <c r="AO12" s="3"/>
      <c r="AP12" s="3"/>
      <c r="AQ12" s="3"/>
      <c r="AR12" s="3"/>
    </row>
    <row r="13">
      <c r="A13" s="13"/>
      <c r="B13" s="235" t="s">
        <v>272</v>
      </c>
      <c r="C13" s="236" t="s">
        <v>10</v>
      </c>
      <c r="D13" s="237" t="s">
        <v>11</v>
      </c>
      <c r="E13" s="236" t="s">
        <v>10</v>
      </c>
      <c r="F13" s="237" t="s">
        <v>11</v>
      </c>
      <c r="G13" s="236" t="s">
        <v>10</v>
      </c>
      <c r="H13" s="237" t="s">
        <v>11</v>
      </c>
      <c r="I13" s="236" t="s">
        <v>10</v>
      </c>
      <c r="J13" s="237" t="s">
        <v>11</v>
      </c>
      <c r="K13" s="236" t="s">
        <v>10</v>
      </c>
      <c r="L13" s="237" t="s">
        <v>11</v>
      </c>
      <c r="M13" s="236" t="s">
        <v>10</v>
      </c>
      <c r="N13" s="237" t="s">
        <v>11</v>
      </c>
      <c r="O13" s="236" t="s">
        <v>10</v>
      </c>
      <c r="P13" s="237" t="s">
        <v>11</v>
      </c>
      <c r="Q13" s="236" t="s">
        <v>10</v>
      </c>
      <c r="R13" s="237" t="s">
        <v>11</v>
      </c>
      <c r="S13" s="239" t="s">
        <v>10</v>
      </c>
      <c r="T13" s="135"/>
      <c r="U13" s="135"/>
      <c r="V13" s="3"/>
      <c r="X13" s="3"/>
      <c r="Y13" s="3"/>
      <c r="Z13" s="249" t="s">
        <v>247</v>
      </c>
      <c r="AA13" s="250">
        <f t="shared" ref="AA13:AB13" si="16">AG13*$AM$38</f>
        <v>0</v>
      </c>
      <c r="AB13" s="250">
        <f t="shared" si="16"/>
        <v>511.225</v>
      </c>
      <c r="AC13" s="250">
        <f t="shared" si="3"/>
        <v>511.225</v>
      </c>
      <c r="AD13" s="250">
        <f t="shared" si="4"/>
        <v>0</v>
      </c>
      <c r="AE13" s="251">
        <f t="shared" si="5"/>
        <v>511.225</v>
      </c>
      <c r="AF13" s="249" t="s">
        <v>247</v>
      </c>
      <c r="AG13" s="252"/>
      <c r="AH13" s="252">
        <f>'PAPEL US$'!I36</f>
        <v>0.7865</v>
      </c>
      <c r="AI13" s="252">
        <f>'PAPEL US$'!J36</f>
        <v>0.7865</v>
      </c>
      <c r="AJ13" s="252"/>
      <c r="AK13" s="3"/>
      <c r="AL13" s="3"/>
      <c r="AM13" s="3"/>
      <c r="AN13" s="3"/>
      <c r="AO13" s="3"/>
      <c r="AP13" s="3"/>
      <c r="AQ13" s="3"/>
      <c r="AR13" s="3"/>
    </row>
    <row r="14">
      <c r="A14" s="13"/>
      <c r="B14" s="244">
        <v>1.0</v>
      </c>
      <c r="C14" s="245">
        <f>(AB48+AB11)*$AH$48</f>
        <v>226922.9261</v>
      </c>
      <c r="D14" s="245">
        <f>(AB48*AG48+AB11)*AH48</f>
        <v>227182.2761</v>
      </c>
      <c r="E14" s="245">
        <f>(AB48+AB4)*$AH$48</f>
        <v>269245.9068</v>
      </c>
      <c r="F14" s="245">
        <f>(AB48*AG48+AB4)*AH48</f>
        <v>269505.2568</v>
      </c>
      <c r="G14" s="245">
        <f>(AB48+AB5)*$AH$48</f>
        <v>230835.1344</v>
      </c>
      <c r="H14" s="245">
        <f>(AB48*AG48+AB5)*AH48</f>
        <v>231094.4844</v>
      </c>
      <c r="I14" s="245">
        <f>(AB48+AB6)*$AH$48</f>
        <v>169377.8986</v>
      </c>
      <c r="J14" s="245">
        <f>(AB48*AG48+AB6)*AH48</f>
        <v>169637.2486</v>
      </c>
      <c r="K14" s="245">
        <f>(AB48+AB7)*$AH$48</f>
        <v>115602.8172</v>
      </c>
      <c r="L14" s="245">
        <f t="shared" ref="L14:L15" si="18">(AB48*AG48+AB7)*AH48</f>
        <v>115862.1672</v>
      </c>
      <c r="M14" s="245">
        <f>(AB48+AB8)*$AH$48</f>
        <v>88715.27652</v>
      </c>
      <c r="N14" s="245">
        <f>(AB48*AG48+AB8)*AH48</f>
        <v>88974.62652</v>
      </c>
      <c r="O14" s="245">
        <f>(AB48+AB9)*$AH$48</f>
        <v>69509.89032</v>
      </c>
      <c r="P14" s="245">
        <f>(AB48*AG48+AB9)*AH48</f>
        <v>69769.24032</v>
      </c>
      <c r="Q14" s="245">
        <f>(AB48+AB10)*$AH$48</f>
        <v>69509.89032</v>
      </c>
      <c r="R14" s="245">
        <f>(AB48*AG48+AB10)*AH48</f>
        <v>69769.24032</v>
      </c>
      <c r="S14" s="246">
        <f>(AB48+AB12)*$AH$48</f>
        <v>627997.5</v>
      </c>
      <c r="T14" s="263"/>
      <c r="U14" s="263"/>
      <c r="V14" s="3"/>
      <c r="W14" s="3">
        <v>533.0</v>
      </c>
      <c r="X14" s="3">
        <v>660.0</v>
      </c>
      <c r="Y14" s="3"/>
      <c r="Z14" s="249" t="s">
        <v>265</v>
      </c>
      <c r="AA14" s="26">
        <f t="shared" ref="AA14:AB14" si="17">AG14*$AM$38</f>
        <v>0</v>
      </c>
      <c r="AB14" s="26" t="str">
        <f t="shared" si="17"/>
        <v>#VALUE!</v>
      </c>
      <c r="AC14" s="26">
        <f>'PAPEL US$'!H48</f>
        <v>993.76</v>
      </c>
      <c r="AD14" s="26"/>
      <c r="AE14" s="108"/>
      <c r="AF14" s="249" t="s">
        <v>265</v>
      </c>
      <c r="AG14" s="252"/>
      <c r="AH14" s="252" t="str">
        <f>AM41*AH26</f>
        <v>#VALUE!</v>
      </c>
      <c r="AI14" s="264">
        <f>AI5+'PAPEL US$'!J49</f>
        <v>1288.65341</v>
      </c>
      <c r="AJ14" s="252">
        <v>0.0</v>
      </c>
      <c r="AK14" s="3"/>
      <c r="AL14" s="3"/>
      <c r="AM14" s="3"/>
      <c r="AN14" s="3"/>
      <c r="AO14" s="3"/>
      <c r="AP14" s="3"/>
      <c r="AQ14" s="3"/>
      <c r="AR14" s="3"/>
    </row>
    <row r="15">
      <c r="A15" s="13"/>
      <c r="B15" s="254" t="s">
        <v>179</v>
      </c>
      <c r="C15" s="245">
        <f>(AB49+AB11)*$AH$49</f>
        <v>203036.3023</v>
      </c>
      <c r="D15" s="245">
        <f t="shared" ref="D15:D16" si="19">(AB49*AG49+AB11)*AH49</f>
        <v>203268.3523</v>
      </c>
      <c r="E15" s="245">
        <f>(AB49+AB4)*$AH$49</f>
        <v>240904.2324</v>
      </c>
      <c r="F15" s="245">
        <f>(AB49*AG49+AB4)*AH49</f>
        <v>241136.2824</v>
      </c>
      <c r="G15" s="245">
        <f>(AB49+AB5)*$AH$49</f>
        <v>206536.6992</v>
      </c>
      <c r="H15" s="245">
        <f>(AB49*AG49+AB5)*AH49</f>
        <v>206768.7492</v>
      </c>
      <c r="I15" s="245">
        <f>(AB49+AB6)*$AH$49</f>
        <v>151548.6461</v>
      </c>
      <c r="J15" s="245">
        <f>(AB49*AG49+AB6)*AH49</f>
        <v>151780.6961</v>
      </c>
      <c r="K15" s="245">
        <f>(AB49+AB7)*$AH$49</f>
        <v>103434.0996</v>
      </c>
      <c r="L15" s="245">
        <f t="shared" si="18"/>
        <v>79608.87636</v>
      </c>
      <c r="M15" s="245">
        <f>(AB49+AB8)*$AH$49</f>
        <v>79376.82636</v>
      </c>
      <c r="N15" s="245">
        <f>(AB49*AG49+AB8)*AH49</f>
        <v>79608.87636</v>
      </c>
      <c r="O15" s="245">
        <f>(AB49+AB9)*$AH$49</f>
        <v>62193.05976</v>
      </c>
      <c r="P15" s="245">
        <f>(AB49*AG49+AB9)*AH49</f>
        <v>62425.10976</v>
      </c>
      <c r="Q15" s="245">
        <f>(AB49+AB10)*$AH$49</f>
        <v>62193.05976</v>
      </c>
      <c r="R15" s="245">
        <f>(AB49*AG49+AD10)*AH49</f>
        <v>31772.30258</v>
      </c>
      <c r="S15" s="246">
        <f>(AB49+AB12)*$AH$49</f>
        <v>561892.5</v>
      </c>
      <c r="T15" s="263"/>
      <c r="U15" s="263"/>
      <c r="V15" s="3"/>
      <c r="W15" s="3">
        <v>504.0</v>
      </c>
      <c r="X15" s="3">
        <v>625.0</v>
      </c>
      <c r="Y15" s="3"/>
      <c r="Z15" s="3"/>
      <c r="AA15" s="3"/>
      <c r="AB15" s="3"/>
      <c r="AC15" s="3"/>
      <c r="AD15" s="108"/>
      <c r="AE15" s="108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BF15" s="3"/>
    </row>
    <row r="16">
      <c r="A16" s="13"/>
      <c r="B16" s="254" t="s">
        <v>180</v>
      </c>
      <c r="C16" s="245">
        <f>(AB50+AB11)*$AH$50</f>
        <v>197064.6464</v>
      </c>
      <c r="D16" s="245">
        <f t="shared" si="19"/>
        <v>545591.475</v>
      </c>
      <c r="E16" s="245">
        <f>(AB50+AB4)*$AH$50</f>
        <v>233818.8138</v>
      </c>
      <c r="F16" s="245">
        <f>(AB50*AG50+AB4)*AH50</f>
        <v>234044.0388</v>
      </c>
      <c r="G16" s="245">
        <f>(AB50+AB5)*$AH$50</f>
        <v>200462.0904</v>
      </c>
      <c r="H16" s="245">
        <f>(AB50*AG50+AB5)*AH50</f>
        <v>200687.3154</v>
      </c>
      <c r="I16" s="245">
        <f>(AB50+AB6)*$AH$50</f>
        <v>147091.333</v>
      </c>
      <c r="J16" s="245">
        <f>(AB50*AG50+AB6)*AH50</f>
        <v>147316.558</v>
      </c>
      <c r="K16" s="245">
        <f>(AB50+AB7)*$AH$50</f>
        <v>100391.9202</v>
      </c>
      <c r="L16" s="245">
        <f>(AB50*AG50+AB8)*AH50</f>
        <v>77267.43882</v>
      </c>
      <c r="M16" s="245">
        <f>(AB50+AB8)*$AH$50</f>
        <v>77042.21382</v>
      </c>
      <c r="N16" s="245">
        <f>(AB50*AG50+AB8)*AH50</f>
        <v>77267.43882</v>
      </c>
      <c r="O16" s="245">
        <f>(AB50+AB9)*$AH$50</f>
        <v>60363.85212</v>
      </c>
      <c r="P16" s="245">
        <f>(AB50*AG50+AB9)*AH50</f>
        <v>60589.07712</v>
      </c>
      <c r="Q16" s="245">
        <f>(AB50+AB10)*$AH$50</f>
        <v>60363.85212</v>
      </c>
      <c r="R16" s="245">
        <f>(AB50*AG50+AD10)*AH50</f>
        <v>30837.82309</v>
      </c>
      <c r="S16" s="246">
        <f>(AB50+AB12)*$AH$50</f>
        <v>545366.25</v>
      </c>
      <c r="T16" s="263"/>
      <c r="U16" s="263"/>
      <c r="V16" s="3"/>
      <c r="W16" s="3">
        <v>476.0</v>
      </c>
      <c r="X16" s="3">
        <v>590.0</v>
      </c>
      <c r="Y16" s="3"/>
      <c r="Z16" s="27" t="s">
        <v>22</v>
      </c>
      <c r="AA16" s="3"/>
      <c r="AB16" s="4" t="s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BD16" s="3"/>
      <c r="BE16" s="3"/>
    </row>
    <row r="17">
      <c r="A17" s="13"/>
      <c r="B17" s="254" t="s">
        <v>181</v>
      </c>
      <c r="C17" s="245">
        <f>(AB51+AB11)*$AH$51</f>
        <v>191092.9904</v>
      </c>
      <c r="D17" s="245">
        <f>(AB51*AG51+AB11)*AH51</f>
        <v>191311.3904</v>
      </c>
      <c r="E17" s="245">
        <f>(AB51+AB4)*$AH$51</f>
        <v>226733.3952</v>
      </c>
      <c r="F17" s="245">
        <f>(AB51*AG51+AB4)*AH51</f>
        <v>226951.7952</v>
      </c>
      <c r="G17" s="245">
        <f>(AB51+AB5)*$AH$51</f>
        <v>194387.4816</v>
      </c>
      <c r="H17" s="245">
        <f>(AB51*AG51+AB5)*AH51</f>
        <v>194605.8816</v>
      </c>
      <c r="I17" s="245">
        <f>(AB51+AB6)*$AH$51</f>
        <v>142634.0198</v>
      </c>
      <c r="J17" s="245">
        <f>(AB51*AG51+AB6)*AH51</f>
        <v>142852.4198</v>
      </c>
      <c r="K17" s="245">
        <f>(AB51+AB7)*$AH$51</f>
        <v>97349.7408</v>
      </c>
      <c r="L17" s="245">
        <f>(AB51*AG51+AB8)*AH51</f>
        <v>74926.00128</v>
      </c>
      <c r="M17" s="245">
        <f>(AB51+AB8)*$AH$51</f>
        <v>74707.60128</v>
      </c>
      <c r="N17" s="245">
        <f>(AB51*AG51+AB8)*AH51</f>
        <v>74926.00128</v>
      </c>
      <c r="O17" s="245">
        <f>(AB51+AB9)*$AH$51</f>
        <v>58534.64448</v>
      </c>
      <c r="P17" s="245">
        <f>(AB51*AG51+AB9)*AH51</f>
        <v>58753.04448</v>
      </c>
      <c r="Q17" s="245">
        <f>(AB51+AB10)*$AH$51</f>
        <v>58534.64448</v>
      </c>
      <c r="R17" s="245">
        <f>(AB51*AG51+AD10)*AH51</f>
        <v>29903.3436</v>
      </c>
      <c r="S17" s="246">
        <f>(AB51+AB12)*$AH$51</f>
        <v>528840</v>
      </c>
      <c r="T17" s="263"/>
      <c r="U17" s="263"/>
      <c r="V17" s="3"/>
      <c r="W17" s="3">
        <v>448.0</v>
      </c>
      <c r="X17" s="3">
        <v>555.0</v>
      </c>
      <c r="Y17" s="3"/>
      <c r="Z17" s="28"/>
      <c r="AA17" s="18" t="s">
        <v>13</v>
      </c>
      <c r="AB17" s="18" t="s">
        <v>14</v>
      </c>
      <c r="AC17" s="18" t="s">
        <v>15</v>
      </c>
      <c r="AD17" s="18" t="s">
        <v>16</v>
      </c>
      <c r="AE17" s="3"/>
      <c r="AF17" s="3" t="s">
        <v>29</v>
      </c>
      <c r="AG17" s="3" t="s">
        <v>30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>
      <c r="A18" s="13"/>
      <c r="B18" s="254" t="s">
        <v>182</v>
      </c>
      <c r="C18" s="245">
        <f>(AB52+AB11)*$AH$52</f>
        <v>185121.3345</v>
      </c>
      <c r="D18" s="245">
        <f>(AB52*AG52+AB11)*AH52</f>
        <v>185332.9095</v>
      </c>
      <c r="E18" s="245">
        <f>(AB52+AB4)*$AH$52</f>
        <v>219647.9766</v>
      </c>
      <c r="F18" s="245">
        <f>(AB52*AG52+AB4)*AH52</f>
        <v>219859.5516</v>
      </c>
      <c r="G18" s="245">
        <f>(AC52+AB5)*$AH$52</f>
        <v>188312.8728</v>
      </c>
      <c r="H18" s="245">
        <f>(AB52*AG52+AB5)*AH52</f>
        <v>188524.4478</v>
      </c>
      <c r="I18" s="245">
        <f>(AB52+AB6)*$AH$52</f>
        <v>138176.7067</v>
      </c>
      <c r="J18" s="245">
        <f>(AB52*AG52+AB6)*AH52</f>
        <v>138388.2817</v>
      </c>
      <c r="K18" s="245">
        <f>(AB52+AB7)*$AH$52</f>
        <v>94307.5614</v>
      </c>
      <c r="L18" s="245">
        <f>(AB52*AG52+AB8)*AH52</f>
        <v>72584.56374</v>
      </c>
      <c r="M18" s="245">
        <f>(AB52+AB8)*$AH$52</f>
        <v>72372.98874</v>
      </c>
      <c r="N18" s="245">
        <f>(AB52*AG52+AB8)*AH52</f>
        <v>72584.56374</v>
      </c>
      <c r="O18" s="245">
        <f>(AB52+AB9)*$AH$52</f>
        <v>56705.43684</v>
      </c>
      <c r="P18" s="245">
        <f>(AB52*AG52+AB9)*AH52</f>
        <v>56917.01184</v>
      </c>
      <c r="Q18" s="245">
        <f>(AB52+AB10)*$AH$52</f>
        <v>56705.43684</v>
      </c>
      <c r="R18" s="245">
        <f>(AB52*AG52+AD10)*AH52</f>
        <v>28968.86411</v>
      </c>
      <c r="S18" s="246">
        <f>(AB52+AB12)*$AH$52</f>
        <v>512313.75</v>
      </c>
      <c r="T18" s="263"/>
      <c r="U18" s="263"/>
      <c r="V18" s="3"/>
      <c r="W18" s="3">
        <v>436.0</v>
      </c>
      <c r="X18" s="3">
        <v>536.0</v>
      </c>
      <c r="Y18" s="3"/>
      <c r="Z18" s="25" t="s">
        <v>3</v>
      </c>
      <c r="AA18" s="29">
        <v>1.0</v>
      </c>
      <c r="AB18" s="29">
        <v>1.0</v>
      </c>
      <c r="AC18" s="29">
        <v>1.0</v>
      </c>
      <c r="AD18" s="29">
        <v>1.0</v>
      </c>
      <c r="AE18" s="3"/>
      <c r="AF18" s="3" t="s">
        <v>31</v>
      </c>
      <c r="AG18" s="3" t="s">
        <v>32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>
      <c r="A19" s="13"/>
      <c r="B19" s="254" t="s">
        <v>18</v>
      </c>
      <c r="C19" s="245">
        <f>(AB53+AB11)*$AH$53</f>
        <v>179149.6785</v>
      </c>
      <c r="D19" s="245">
        <f>(AB53*AG53+AB11)*AH53</f>
        <v>179354.4285</v>
      </c>
      <c r="E19" s="245">
        <f>(AB53+AB4)*$AH$53</f>
        <v>212562.558</v>
      </c>
      <c r="F19" s="245">
        <f>(AB53*AG53+AB4)*AH53</f>
        <v>212767.308</v>
      </c>
      <c r="G19" s="245">
        <f>(AC53+AB5)*$AH$53</f>
        <v>182238.264</v>
      </c>
      <c r="H19" s="245">
        <f>(AB53*AG53+AB5)*AH53</f>
        <v>182443.014</v>
      </c>
      <c r="I19" s="245">
        <f>(AB53+AB6)*$AH$53</f>
        <v>133719.3936</v>
      </c>
      <c r="J19" s="245">
        <f>(AB53*AG53+AB6)*AH53</f>
        <v>133924.1436</v>
      </c>
      <c r="K19" s="245">
        <f>(AB53+AB7)*$AH$53</f>
        <v>91265.382</v>
      </c>
      <c r="L19" s="245">
        <f>(AB53*AG53+AB8)*AH53</f>
        <v>70243.1262</v>
      </c>
      <c r="M19" s="245">
        <f>(AB53+AB8)*$AH$53</f>
        <v>70038.3762</v>
      </c>
      <c r="N19" s="245">
        <f>(AB53*AG53+AB8)*AH53</f>
        <v>70243.1262</v>
      </c>
      <c r="O19" s="245">
        <f>(AB53+AB9)*$AH$53</f>
        <v>54876.2292</v>
      </c>
      <c r="P19" s="245">
        <f>(AB53*AG53+AB9)*AH53</f>
        <v>55080.9792</v>
      </c>
      <c r="Q19" s="245">
        <f>(AB53+AB10)*$AH$53</f>
        <v>54876.2292</v>
      </c>
      <c r="R19" s="245">
        <f>(AB53*AG53+AD10)*AH53</f>
        <v>28034.38463</v>
      </c>
      <c r="S19" s="246">
        <f>(AB53+AB12)*$AH$53</f>
        <v>495787.5</v>
      </c>
      <c r="T19" s="263"/>
      <c r="U19" s="263"/>
      <c r="V19" s="3"/>
      <c r="W19" s="3">
        <v>392.0</v>
      </c>
      <c r="X19" s="3">
        <v>486.0</v>
      </c>
      <c r="Y19" s="3"/>
      <c r="Z19" s="25" t="s">
        <v>4</v>
      </c>
      <c r="AA19" s="29">
        <v>1.0</v>
      </c>
      <c r="AB19" s="29">
        <v>1.0</v>
      </c>
      <c r="AC19" s="29">
        <v>1.0</v>
      </c>
      <c r="AD19" s="29">
        <v>1.0</v>
      </c>
      <c r="AE19" s="3"/>
      <c r="AF19" s="3" t="s">
        <v>33</v>
      </c>
      <c r="AG19" s="3" t="s">
        <v>34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>
      <c r="A20" s="13"/>
      <c r="B20" s="255" t="s">
        <v>19</v>
      </c>
      <c r="C20" s="256">
        <f>(AB54+AB11)*$AH$54</f>
        <v>173178.0226</v>
      </c>
      <c r="D20" s="256">
        <f>(AB54*AG54+AB11)*AH54</f>
        <v>173375.9476</v>
      </c>
      <c r="E20" s="256">
        <f>(AB54+AB4)*$AH$54</f>
        <v>205477.1394</v>
      </c>
      <c r="F20" s="256">
        <f>(AB54*AG54+AB4)*AH54</f>
        <v>205675.0644</v>
      </c>
      <c r="G20" s="256">
        <f>(AC54+AB5)*$AH$54</f>
        <v>176163.6552</v>
      </c>
      <c r="H20" s="256">
        <f>(AB54*AG54+AB5)*AH54</f>
        <v>176361.5802</v>
      </c>
      <c r="I20" s="256">
        <f>(AB54+AB6)*$AH$54</f>
        <v>129262.0805</v>
      </c>
      <c r="J20" s="256">
        <f>(AB54*AG54+AB6)*AH54</f>
        <v>129460.0055</v>
      </c>
      <c r="K20" s="256">
        <f>(AB54+AB7)*$AH$54</f>
        <v>88223.2026</v>
      </c>
      <c r="L20" s="256">
        <f>(AB54*AG54+AB8)*AH54</f>
        <v>67901.68866</v>
      </c>
      <c r="M20" s="256">
        <f>(AB54+AB8)*$AH$54</f>
        <v>67703.76366</v>
      </c>
      <c r="N20" s="256">
        <f>(AB54*AG54+AB8)*AH54</f>
        <v>67901.68866</v>
      </c>
      <c r="O20" s="256">
        <f>(AB54+AB9)*$AH$54</f>
        <v>53047.02156</v>
      </c>
      <c r="P20" s="256">
        <f>(AB54*AG54+AB9)*AH54</f>
        <v>53244.94656</v>
      </c>
      <c r="Q20" s="256">
        <f>(AB54+AB10)*$AH$54</f>
        <v>53047.02156</v>
      </c>
      <c r="R20" s="256">
        <f>(AB54*AG54+AD10)*AH54</f>
        <v>27099.90514</v>
      </c>
      <c r="S20" s="257">
        <f>(AB54+AB12)*$AH$54</f>
        <v>479261.25</v>
      </c>
      <c r="T20" s="263"/>
      <c r="U20" s="263"/>
      <c r="V20" s="3"/>
      <c r="W20" s="3">
        <v>363.0</v>
      </c>
      <c r="X20" s="3">
        <v>451.0</v>
      </c>
      <c r="Y20" s="3"/>
      <c r="Z20" s="25" t="s">
        <v>5</v>
      </c>
      <c r="AA20" s="29">
        <v>1.0</v>
      </c>
      <c r="AB20" s="29">
        <v>1.0</v>
      </c>
      <c r="AC20" s="29">
        <v>1.0</v>
      </c>
      <c r="AD20" s="29">
        <v>1.0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ht="15.75" customHeight="1">
      <c r="A21" s="3"/>
      <c r="B21" s="265">
        <v>1000.0</v>
      </c>
      <c r="C21" s="266">
        <f>(AB55+AB11)*$AH$55</f>
        <v>167206.3666</v>
      </c>
      <c r="D21" s="266">
        <f>(AB55*AG55+AB11)*AH55</f>
        <v>167397.4666</v>
      </c>
      <c r="E21" s="266">
        <f>(AB55+AB4)*$AH$55</f>
        <v>198391.7208</v>
      </c>
      <c r="F21" s="266">
        <f>(AB55*AG55+AB4)*AH55</f>
        <v>198582.8208</v>
      </c>
      <c r="G21" s="266">
        <f>(AC55+AB5)*$AH$55</f>
        <v>170089.0464</v>
      </c>
      <c r="H21" s="266">
        <f>(AB55*AG55+AB12)*AH55</f>
        <v>462926.1</v>
      </c>
      <c r="I21" s="266">
        <f>(AB55+AB6)*$AH$55</f>
        <v>124804.7674</v>
      </c>
      <c r="J21" s="266">
        <f>(AB55*AG55+AB6)*AH55</f>
        <v>124995.8674</v>
      </c>
      <c r="K21" s="266">
        <f>(AB55+AB7)*$AH$55</f>
        <v>85181.0232</v>
      </c>
      <c r="L21" s="266">
        <f>(AB55*AG55+AB8)*AH55</f>
        <v>65560.25112</v>
      </c>
      <c r="M21" s="266">
        <f>(AB55+AB8)*$AH$55</f>
        <v>65369.15112</v>
      </c>
      <c r="N21" s="266">
        <f>(AB55*AG55+AB8)*AH55</f>
        <v>65560.25112</v>
      </c>
      <c r="O21" s="266">
        <f>(AB55+AB9)*$AH$55</f>
        <v>51217.81392</v>
      </c>
      <c r="P21" s="266">
        <f>(AB55*AG55+AB9)*AH55</f>
        <v>51408.91392</v>
      </c>
      <c r="Q21" s="266">
        <f>(AB55+AB10)*$AH$55</f>
        <v>51217.81392</v>
      </c>
      <c r="R21" s="266">
        <f>(AB55*AG55+AD10)*AH55</f>
        <v>26165.42565</v>
      </c>
      <c r="S21" s="266">
        <f>(AB55+AB12)*$AH$55</f>
        <v>462735</v>
      </c>
      <c r="T21" s="267"/>
      <c r="U21" s="267"/>
      <c r="V21" s="3"/>
      <c r="W21" s="3"/>
      <c r="X21" s="3"/>
      <c r="Y21" s="3"/>
      <c r="Z21" s="25" t="s">
        <v>6</v>
      </c>
      <c r="AA21" s="29">
        <v>1.0</v>
      </c>
      <c r="AB21" s="29">
        <v>1.0</v>
      </c>
      <c r="AC21" s="29">
        <v>1.0</v>
      </c>
      <c r="AD21" s="29">
        <v>1.0</v>
      </c>
      <c r="AE21" s="3"/>
      <c r="AF21" s="3"/>
      <c r="AG21" s="3" t="s">
        <v>273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ht="15.75" customHeight="1">
      <c r="A22" s="3"/>
      <c r="B22" s="229" t="s">
        <v>274</v>
      </c>
      <c r="C22" s="268" t="s">
        <v>262</v>
      </c>
      <c r="D22" s="269"/>
      <c r="E22" s="268" t="s">
        <v>3</v>
      </c>
      <c r="F22" s="269"/>
      <c r="G22" s="268" t="s">
        <v>4</v>
      </c>
      <c r="H22" s="269"/>
      <c r="I22" s="268" t="s">
        <v>5</v>
      </c>
      <c r="J22" s="269"/>
      <c r="K22" s="268" t="s">
        <v>6</v>
      </c>
      <c r="L22" s="269"/>
      <c r="M22" s="270" t="s">
        <v>263</v>
      </c>
      <c r="N22" s="269"/>
      <c r="O22" s="268" t="s">
        <v>7</v>
      </c>
      <c r="P22" s="269"/>
      <c r="Q22" s="268" t="s">
        <v>271</v>
      </c>
      <c r="R22" s="269"/>
      <c r="S22" s="271" t="s">
        <v>230</v>
      </c>
      <c r="T22" s="135"/>
      <c r="U22" s="135"/>
      <c r="V22" s="3"/>
      <c r="W22" s="3">
        <f t="shared" ref="W22:X22" si="20">W14-W4</f>
        <v>73</v>
      </c>
      <c r="X22" s="3">
        <f t="shared" si="20"/>
        <v>72</v>
      </c>
      <c r="Y22" s="3"/>
      <c r="Z22" s="272" t="s">
        <v>263</v>
      </c>
      <c r="AA22" s="20">
        <v>1.0</v>
      </c>
      <c r="AB22" s="20">
        <v>1.0</v>
      </c>
      <c r="AC22" s="20">
        <v>1.0</v>
      </c>
      <c r="AD22" s="20">
        <v>1.0</v>
      </c>
      <c r="AE22" s="218"/>
      <c r="AF22" s="3"/>
      <c r="AG22" s="3"/>
      <c r="AH22" s="3">
        <v>21.0</v>
      </c>
      <c r="AI22" s="3" t="s">
        <v>275</v>
      </c>
      <c r="AJ22" s="3">
        <v>1.5</v>
      </c>
      <c r="AK22" s="3"/>
      <c r="AL22" s="3"/>
      <c r="AM22" s="3"/>
      <c r="AN22" s="3"/>
      <c r="AO22" s="3"/>
      <c r="AP22" s="3"/>
      <c r="AQ22" s="3"/>
      <c r="AR22" s="3"/>
    </row>
    <row r="23" ht="15.75" customHeight="1">
      <c r="A23" s="13"/>
      <c r="B23" s="235" t="s">
        <v>276</v>
      </c>
      <c r="C23" s="273" t="s">
        <v>10</v>
      </c>
      <c r="D23" s="274" t="s">
        <v>11</v>
      </c>
      <c r="E23" s="273" t="s">
        <v>10</v>
      </c>
      <c r="F23" s="274" t="s">
        <v>11</v>
      </c>
      <c r="G23" s="273" t="s">
        <v>10</v>
      </c>
      <c r="H23" s="274" t="s">
        <v>11</v>
      </c>
      <c r="I23" s="273" t="s">
        <v>10</v>
      </c>
      <c r="J23" s="274" t="s">
        <v>11</v>
      </c>
      <c r="K23" s="273" t="s">
        <v>10</v>
      </c>
      <c r="L23" s="274" t="s">
        <v>11</v>
      </c>
      <c r="M23" s="273" t="s">
        <v>10</v>
      </c>
      <c r="N23" s="274" t="s">
        <v>11</v>
      </c>
      <c r="O23" s="273" t="s">
        <v>10</v>
      </c>
      <c r="P23" s="274" t="s">
        <v>11</v>
      </c>
      <c r="Q23" s="273" t="s">
        <v>10</v>
      </c>
      <c r="R23" s="274" t="s">
        <v>11</v>
      </c>
      <c r="S23" s="275" t="s">
        <v>10</v>
      </c>
      <c r="T23" s="135"/>
      <c r="U23" s="135"/>
      <c r="V23" s="3"/>
      <c r="W23" s="3">
        <f t="shared" ref="W23:X23" si="21">W15-W5</f>
        <v>68</v>
      </c>
      <c r="X23" s="3">
        <f t="shared" si="21"/>
        <v>68</v>
      </c>
      <c r="Y23" s="3"/>
      <c r="Z23" s="25" t="s">
        <v>7</v>
      </c>
      <c r="AA23" s="29">
        <v>1.0</v>
      </c>
      <c r="AB23" s="29">
        <v>1.0</v>
      </c>
      <c r="AC23" s="29">
        <v>1.0</v>
      </c>
      <c r="AD23" s="29">
        <v>1.0</v>
      </c>
      <c r="AE23" s="3"/>
      <c r="AF23" s="3"/>
      <c r="AG23" s="20">
        <v>41.0</v>
      </c>
      <c r="AH23" s="276">
        <f>'PAPEL US$'!H48</f>
        <v>993.76</v>
      </c>
      <c r="AI23" s="3">
        <f>AH23/2000*50</f>
        <v>24.844</v>
      </c>
      <c r="AJ23" s="277">
        <f>AI23*AJ22</f>
        <v>37.266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ht="15.75" customHeight="1">
      <c r="A24" s="31"/>
      <c r="B24" s="244">
        <v>1.0</v>
      </c>
      <c r="C24" s="245">
        <f>(AD48+AA11)*$AH$48</f>
        <v>340569.6392</v>
      </c>
      <c r="D24" s="278">
        <f>(AD48*AG48+AA11)*AH48</f>
        <v>341088.3392</v>
      </c>
      <c r="E24" s="245">
        <f>(AD48+AA4)*$AH$48</f>
        <v>404054.1102</v>
      </c>
      <c r="F24" s="245">
        <f>(AD48*AG48+AA4)*AH48</f>
        <v>404572.8102</v>
      </c>
      <c r="G24" s="245">
        <f>(AD48+AA5)*$AH$48</f>
        <v>346437.9516</v>
      </c>
      <c r="H24" s="278">
        <f>(AD48*AG48+AA5)*AH48</f>
        <v>346956.6516</v>
      </c>
      <c r="I24" s="245">
        <f>(AD48+AA6)*$AH$48</f>
        <v>254252.0978</v>
      </c>
      <c r="J24" s="245">
        <f>(AD48*AG48+AA6)*AH48</f>
        <v>254770.7978</v>
      </c>
      <c r="K24" s="245">
        <f>(AD48+AA7)*$AH$48</f>
        <v>173589.4758</v>
      </c>
      <c r="L24" s="245">
        <f>(AD48*AG48+AA7)*AH48</f>
        <v>174108.1758</v>
      </c>
      <c r="M24" s="245">
        <f>(AD48+AA8)*$AH$48</f>
        <v>133258.1648</v>
      </c>
      <c r="N24" s="245">
        <f>(AD48*AG48+AA8)*AH48</f>
        <v>133776.8648</v>
      </c>
      <c r="O24" s="245">
        <f>(AD48+AA9)*$AH$48</f>
        <v>104450.0855</v>
      </c>
      <c r="P24" s="245">
        <f>(AD48*AG48+AA9)*AH48</f>
        <v>104968.7855</v>
      </c>
      <c r="Q24" s="245">
        <f>(AD48+AA10)*$AH$48</f>
        <v>104450.0855</v>
      </c>
      <c r="R24" s="245">
        <f>(AD48*AG48+AA10)*AH48</f>
        <v>104968.7855</v>
      </c>
      <c r="S24" s="245">
        <f>(AD48+AA12)*$AH$48</f>
        <v>942181.5</v>
      </c>
      <c r="T24" s="263"/>
      <c r="U24" s="263"/>
      <c r="V24" s="3"/>
      <c r="W24" s="3">
        <f t="shared" ref="W24:X24" si="22">W16-W6</f>
        <v>64</v>
      </c>
      <c r="X24" s="3">
        <f t="shared" si="22"/>
        <v>64</v>
      </c>
      <c r="Y24" s="3"/>
      <c r="Z24" s="25" t="s">
        <v>271</v>
      </c>
      <c r="AA24" s="29">
        <v>1.0</v>
      </c>
      <c r="AB24" s="29">
        <v>1.0</v>
      </c>
      <c r="AC24" s="29">
        <v>1.0</v>
      </c>
      <c r="AD24" s="29">
        <v>1.0</v>
      </c>
      <c r="AE24" s="3"/>
      <c r="AF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ht="15.75" customHeight="1">
      <c r="A25" s="31"/>
      <c r="B25" s="254" t="s">
        <v>179</v>
      </c>
      <c r="C25" s="245">
        <f>(AD49+AA11)*$AH$49</f>
        <v>304720.2035</v>
      </c>
      <c r="D25" s="245">
        <f>(AD49*AG49+AA11)*AH49</f>
        <v>305184.3035</v>
      </c>
      <c r="E25" s="245">
        <f>(AD49+AA4)*$AH$49</f>
        <v>361522.0986</v>
      </c>
      <c r="F25" s="245">
        <f>(AD49*AG49+AA4)*AH49</f>
        <v>361986.1986</v>
      </c>
      <c r="G25" s="245">
        <f>(AD49+AA5)*$AH$49</f>
        <v>309970.7988</v>
      </c>
      <c r="H25" s="245">
        <f>(AD49*AG49+AA5)*AH49</f>
        <v>310434.8988</v>
      </c>
      <c r="I25" s="245">
        <f>(AD49+AA6)*$AH$49</f>
        <v>227488.7191</v>
      </c>
      <c r="J25" s="245">
        <f>(AD49*AG49+AA6)*AH49</f>
        <v>227952.8191</v>
      </c>
      <c r="K25" s="245">
        <f>(AD49+AA7)*$AH$49</f>
        <v>155316.8994</v>
      </c>
      <c r="L25" s="245">
        <f>(AD49*AG49+AA7)*AH49</f>
        <v>155780.9994</v>
      </c>
      <c r="M25" s="245">
        <f>(AD49+AA8)*$AH$49</f>
        <v>119230.9895</v>
      </c>
      <c r="N25" s="245">
        <f>(AD49*AG49+AA8)*AH49</f>
        <v>119695.0895</v>
      </c>
      <c r="O25" s="245">
        <f>(AD49+AA9)*$AH$49</f>
        <v>93455.33964</v>
      </c>
      <c r="P25" s="245">
        <f>(AD49*AG49+AA9)*AH49</f>
        <v>93919.43964</v>
      </c>
      <c r="Q25" s="245">
        <f>(AD49+AA10)*$AH$49</f>
        <v>93455.33964</v>
      </c>
      <c r="R25" s="245">
        <f>(AD49*AG49+AA10)*AH49</f>
        <v>93919.43964</v>
      </c>
      <c r="S25" s="245">
        <f>(AD49+AA12)*$AH$49</f>
        <v>843004.5</v>
      </c>
      <c r="T25" s="263"/>
      <c r="U25" s="263"/>
      <c r="V25" s="3"/>
      <c r="W25" s="3">
        <f t="shared" ref="W25:X25" si="23">W17-W7</f>
        <v>60</v>
      </c>
      <c r="X25" s="3">
        <f t="shared" si="23"/>
        <v>60</v>
      </c>
      <c r="Y25" s="32"/>
      <c r="Z25" s="25" t="s">
        <v>262</v>
      </c>
      <c r="AA25" s="29">
        <v>1.0</v>
      </c>
      <c r="AB25" s="29">
        <v>1.0</v>
      </c>
      <c r="AC25" s="29">
        <v>1.0</v>
      </c>
      <c r="AD25" s="29">
        <v>1.0</v>
      </c>
      <c r="AE25" s="3"/>
      <c r="AF25" s="3"/>
      <c r="AH25" s="279" t="s">
        <v>277</v>
      </c>
      <c r="AI25" s="279"/>
      <c r="AJ25" s="279"/>
      <c r="AK25" s="279"/>
      <c r="AL25" s="3"/>
      <c r="AM25" s="3"/>
      <c r="AN25" s="3"/>
      <c r="AO25" s="3"/>
      <c r="AP25" s="3"/>
      <c r="AQ25" s="3"/>
      <c r="AR25" s="3"/>
    </row>
    <row r="26" ht="15.75" customHeight="1">
      <c r="A26" s="31"/>
      <c r="B26" s="254" t="s">
        <v>180</v>
      </c>
      <c r="C26" s="245">
        <f>(AD50+AA11)*$AH$50</f>
        <v>295757.8445</v>
      </c>
      <c r="D26" s="245">
        <f>(AD50*AG50+AA11)*AH50</f>
        <v>296208.2945</v>
      </c>
      <c r="E26" s="245">
        <f>(AD50+AA4)*$AH$50</f>
        <v>350889.0957</v>
      </c>
      <c r="F26" s="245">
        <f>(AD50*AG50+AA4)*AH50</f>
        <v>351339.5457</v>
      </c>
      <c r="G26" s="245">
        <f>(AD50+AA5)*$AH$50</f>
        <v>300854.0106</v>
      </c>
      <c r="H26" s="245">
        <f>(AD50*AG50+AA5)*AH50</f>
        <v>301304.4606</v>
      </c>
      <c r="I26" s="245">
        <f>(AD50+AA6)*$AH$50</f>
        <v>220797.8744</v>
      </c>
      <c r="J26" s="245">
        <f>(AD50*AG50+AA6)*AH50</f>
        <v>221248.3244</v>
      </c>
      <c r="K26" s="245">
        <f>(AD50+AA7)*$AH$50</f>
        <v>150748.7553</v>
      </c>
      <c r="L26" s="245">
        <f>(AD50*AG50+AA7)*AH50</f>
        <v>151199.2053</v>
      </c>
      <c r="M26" s="245">
        <f>(AD50+AA8)*$AH$50</f>
        <v>115724.1957</v>
      </c>
      <c r="N26" s="245">
        <f>(AD50*AG50+AA8)*AH50</f>
        <v>116174.6457</v>
      </c>
      <c r="O26" s="245">
        <f>(AD50+AA9)*$AH$50</f>
        <v>90706.65318</v>
      </c>
      <c r="P26" s="245">
        <f>(AD50*AG50+AA9)*AH50</f>
        <v>91157.10318</v>
      </c>
      <c r="Q26" s="245">
        <f>(AD50+AA10)*$AH$50</f>
        <v>90706.65318</v>
      </c>
      <c r="R26" s="245">
        <f>(AD50*AG50+AA10)*AH50</f>
        <v>91157.10318</v>
      </c>
      <c r="S26" s="245">
        <f>(AD50+AA12)*$AH$50</f>
        <v>818210.25</v>
      </c>
      <c r="T26" s="263"/>
      <c r="U26" s="263"/>
      <c r="V26" s="3"/>
      <c r="W26" s="3">
        <f t="shared" ref="W26:X26" si="24">W18-W8</f>
        <v>73</v>
      </c>
      <c r="X26" s="3">
        <f t="shared" si="24"/>
        <v>72</v>
      </c>
      <c r="Y26" s="32"/>
      <c r="Z26" s="25" t="s">
        <v>230</v>
      </c>
      <c r="AA26" s="29">
        <v>1.0</v>
      </c>
      <c r="AB26" s="29">
        <v>1.0</v>
      </c>
      <c r="AC26" s="29">
        <v>1.0</v>
      </c>
      <c r="AD26" s="29">
        <v>1.0</v>
      </c>
      <c r="AE26" s="3"/>
      <c r="AF26" s="3"/>
      <c r="AG26" s="107"/>
      <c r="AH26" s="280" t="s">
        <v>278</v>
      </c>
      <c r="AI26" s="280" t="s">
        <v>279</v>
      </c>
      <c r="AJ26" s="280" t="s">
        <v>279</v>
      </c>
      <c r="AK26" s="280" t="s">
        <v>280</v>
      </c>
      <c r="AL26" s="3"/>
      <c r="AM26" s="3"/>
      <c r="AN26" s="3"/>
      <c r="AO26" s="3"/>
      <c r="AP26" s="3"/>
      <c r="AQ26" s="3"/>
      <c r="AR26" s="3"/>
    </row>
    <row r="27" ht="15.75" customHeight="1">
      <c r="A27" s="31"/>
      <c r="B27" s="254" t="s">
        <v>181</v>
      </c>
      <c r="C27" s="245">
        <f>(AD51+AA11)*$AH$51</f>
        <v>286795.4856</v>
      </c>
      <c r="D27" s="245">
        <f>(AD51*AG51+AA11)*AH51</f>
        <v>287232.2856</v>
      </c>
      <c r="E27" s="245">
        <f>(AD51+AA4)*$AH$51</f>
        <v>340256.0928</v>
      </c>
      <c r="F27" s="245">
        <f>(AD51*AG51+AA4)*AH51</f>
        <v>340692.8928</v>
      </c>
      <c r="G27" s="245">
        <f>(AD51+AA5)*$AH$51</f>
        <v>291737.2224</v>
      </c>
      <c r="H27" s="245">
        <f>(AD51*AG51+AA5)*AH51</f>
        <v>292174.0224</v>
      </c>
      <c r="I27" s="245">
        <f>(AD51+AA6)*$AH$51</f>
        <v>214107.0298</v>
      </c>
      <c r="J27" s="245">
        <f>(AD51*AG51+AA6)*AH51</f>
        <v>214543.8298</v>
      </c>
      <c r="K27" s="245">
        <f>(AD51+AA7)*$AH$51</f>
        <v>146180.6112</v>
      </c>
      <c r="L27" s="245">
        <f>(AD51*AG51+AA7)*AH51</f>
        <v>146617.4112</v>
      </c>
      <c r="M27" s="245">
        <f>(AD51+AA8)*$AH$51</f>
        <v>112217.4019</v>
      </c>
      <c r="N27" s="245">
        <f>(AD51*AG51+AA8)*AH51</f>
        <v>112654.2019</v>
      </c>
      <c r="O27" s="245">
        <f>(AD51+AA9)*$AH$51</f>
        <v>87957.96672</v>
      </c>
      <c r="P27" s="245">
        <f>(AD51*AG51+AA9)*AH51</f>
        <v>88394.76672</v>
      </c>
      <c r="Q27" s="245">
        <f>(AD51+AA10)*$AH$51</f>
        <v>87957.96672</v>
      </c>
      <c r="R27" s="245">
        <f>(AD51*AG51+AA10)*AH51</f>
        <v>88394.76672</v>
      </c>
      <c r="S27" s="245">
        <f>(AD51+AA12)*$AH$51</f>
        <v>793416</v>
      </c>
      <c r="T27" s="263"/>
      <c r="U27" s="263"/>
      <c r="V27" s="3"/>
      <c r="W27" s="3">
        <f t="shared" ref="W27:X27" si="25">W19-W9</f>
        <v>53</v>
      </c>
      <c r="X27" s="3">
        <f t="shared" si="25"/>
        <v>53</v>
      </c>
      <c r="Y27" s="32"/>
      <c r="Z27" s="25" t="s">
        <v>247</v>
      </c>
      <c r="AA27" s="29">
        <v>1.0</v>
      </c>
      <c r="AB27" s="29">
        <v>1.0</v>
      </c>
      <c r="AC27" s="29">
        <v>1.0</v>
      </c>
      <c r="AD27" s="29">
        <v>1.0</v>
      </c>
      <c r="AE27" s="3"/>
      <c r="AF27" s="3"/>
      <c r="AG27" s="107"/>
      <c r="AH27" s="280" t="s">
        <v>281</v>
      </c>
      <c r="AI27" s="280" t="s">
        <v>282</v>
      </c>
      <c r="AJ27" s="280" t="s">
        <v>283</v>
      </c>
      <c r="AK27" s="280" t="s">
        <v>284</v>
      </c>
      <c r="AL27" s="3"/>
      <c r="AM27" s="3"/>
      <c r="AN27" s="3"/>
      <c r="AO27" s="3"/>
      <c r="AP27" s="3"/>
      <c r="AQ27" s="3"/>
      <c r="AR27" s="3"/>
    </row>
    <row r="28" ht="15.75" customHeight="1">
      <c r="A28" s="31"/>
      <c r="B28" s="254" t="s">
        <v>182</v>
      </c>
      <c r="C28" s="245">
        <f>(AD52+AA11)*$AH$52</f>
        <v>277833.1267</v>
      </c>
      <c r="D28" s="245">
        <f>(AD52*AG52+AA11)*AH52</f>
        <v>278256.2767</v>
      </c>
      <c r="E28" s="245">
        <f>(AD52+AA4)*$AH$52</f>
        <v>329623.0899</v>
      </c>
      <c r="F28" s="245">
        <f>(AD52*AG52+AA4)*AH52</f>
        <v>330046.2399</v>
      </c>
      <c r="G28" s="245">
        <f>(AD52+AA5)*$AH$52</f>
        <v>282620.4342</v>
      </c>
      <c r="H28" s="245">
        <f>(AD52*AG52+AA5)*AH52</f>
        <v>283043.5842</v>
      </c>
      <c r="I28" s="245">
        <f>(AD52+AA6)*$AH$52</f>
        <v>207416.1851</v>
      </c>
      <c r="J28" s="245">
        <f>(AD52*AG52+AA6)*AH52</f>
        <v>207839.3351</v>
      </c>
      <c r="K28" s="245">
        <f>(AD52+AA7)*$AH$52</f>
        <v>141612.4671</v>
      </c>
      <c r="L28" s="245">
        <f>(AD52*AG52+AA7)*AH52</f>
        <v>142035.6171</v>
      </c>
      <c r="M28" s="245">
        <f>(AD52+AA8)*$AH$52</f>
        <v>108710.6081</v>
      </c>
      <c r="N28" s="245">
        <f>(AD52*AG52+AA8)*AH52</f>
        <v>109133.7581</v>
      </c>
      <c r="O28" s="245">
        <f>(AD52+AA9)*$AH$52</f>
        <v>85209.28026</v>
      </c>
      <c r="P28" s="245">
        <f>(AD52*AG52+AA9)*AH52</f>
        <v>85632.43026</v>
      </c>
      <c r="Q28" s="245">
        <f>(AD52+AA10)*$AH$52</f>
        <v>85209.28026</v>
      </c>
      <c r="R28" s="245">
        <f>(AD52*AG52+AA10)*AH52</f>
        <v>85632.43026</v>
      </c>
      <c r="S28" s="245">
        <f>(AD52+AA12)*$AH$52</f>
        <v>768621.75</v>
      </c>
      <c r="T28" s="263"/>
      <c r="U28" s="263"/>
      <c r="V28" s="3"/>
      <c r="W28" s="3">
        <f t="shared" ref="W28:X28" si="26">W20-W10</f>
        <v>48</v>
      </c>
      <c r="X28" s="3">
        <f t="shared" si="26"/>
        <v>49</v>
      </c>
      <c r="Y28" s="3"/>
      <c r="Z28" s="25" t="s">
        <v>265</v>
      </c>
      <c r="AA28" s="29"/>
      <c r="AB28" s="29"/>
      <c r="AC28" s="29">
        <v>1.0</v>
      </c>
      <c r="AD28" s="29"/>
      <c r="AE28" s="3"/>
      <c r="AF28" s="3"/>
      <c r="AH28" s="3">
        <v>0.1242</v>
      </c>
      <c r="AI28" s="3">
        <v>0.1563</v>
      </c>
      <c r="AJ28" s="3">
        <v>0.14</v>
      </c>
      <c r="AK28" s="3">
        <v>0.0483011</v>
      </c>
      <c r="AL28" s="3"/>
      <c r="AM28" s="3"/>
      <c r="AN28" s="3"/>
      <c r="AO28" s="3">
        <v>2.0</v>
      </c>
      <c r="AP28" s="281" t="s">
        <v>16</v>
      </c>
      <c r="AQ28" s="282"/>
      <c r="AR28" s="3"/>
    </row>
    <row r="29" ht="15.75" customHeight="1">
      <c r="A29" s="31"/>
      <c r="B29" s="254" t="s">
        <v>18</v>
      </c>
      <c r="C29" s="245">
        <f>(AD53+AA11)*$AH$53</f>
        <v>268870.7678</v>
      </c>
      <c r="D29" s="245">
        <f>(AD53*AG53+AA11)*AH53</f>
        <v>269280.2678</v>
      </c>
      <c r="E29" s="245">
        <f>(AD53+AA4)*$AH$53</f>
        <v>318990.087</v>
      </c>
      <c r="F29" s="245">
        <f>(AD53*AG53+AA4)*AH53</f>
        <v>319399.587</v>
      </c>
      <c r="G29" s="245">
        <f>(AD53+AA5)*$AH$53</f>
        <v>273503.646</v>
      </c>
      <c r="H29" s="245">
        <f>(AD53*AG53+AA5)*AH53</f>
        <v>273913.146</v>
      </c>
      <c r="I29" s="245">
        <f>(AD53+AA6)*$AH$53</f>
        <v>200725.3404</v>
      </c>
      <c r="J29" s="245">
        <f>(AD53*AG53+AA6)*AH53</f>
        <v>201134.8404</v>
      </c>
      <c r="K29" s="245">
        <f>(AD53+AA7)*$AH$53</f>
        <v>137044.323</v>
      </c>
      <c r="L29" s="245">
        <f>(AD53*AG53+AA7)*AH53</f>
        <v>137453.823</v>
      </c>
      <c r="M29" s="245">
        <f>(AD53+AA8)*$AH$53</f>
        <v>105203.8143</v>
      </c>
      <c r="N29" s="245">
        <f>(AD53*AG53+AA8)*AH53</f>
        <v>105613.3143</v>
      </c>
      <c r="O29" s="245">
        <f>(AD53+AA9)*$AH$53</f>
        <v>82460.5938</v>
      </c>
      <c r="P29" s="245">
        <f>(AD53*AG53+AA9)*AH53</f>
        <v>82870.0938</v>
      </c>
      <c r="Q29" s="245">
        <f>(AD53+AA10)*$AH$53</f>
        <v>82460.5938</v>
      </c>
      <c r="R29" s="245">
        <f>(AD53*AG53+AA10)*AH53</f>
        <v>82870.0938</v>
      </c>
      <c r="S29" s="245">
        <f>(AD53+AA12)*$AH$53</f>
        <v>743827.5</v>
      </c>
      <c r="T29" s="263"/>
      <c r="U29" s="26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281" t="s">
        <v>278</v>
      </c>
      <c r="AI29" s="281" t="s">
        <v>279</v>
      </c>
      <c r="AJ29" s="281" t="s">
        <v>279</v>
      </c>
      <c r="AK29" s="281" t="s">
        <v>280</v>
      </c>
      <c r="AL29" s="3"/>
      <c r="AM29" s="3"/>
      <c r="AN29" s="3"/>
      <c r="AO29" s="281" t="s">
        <v>104</v>
      </c>
      <c r="AP29" s="281" t="s">
        <v>285</v>
      </c>
      <c r="AQ29" s="283" t="s">
        <v>286</v>
      </c>
      <c r="AR29" s="3"/>
      <c r="BF29" s="3"/>
    </row>
    <row r="30" ht="15.75" customHeight="1">
      <c r="A30" s="31"/>
      <c r="B30" s="255" t="s">
        <v>19</v>
      </c>
      <c r="C30" s="245">
        <f>(AD54+AA11)*$AH$54</f>
        <v>259908.4088</v>
      </c>
      <c r="D30" s="245">
        <f>(AD54*AG54+AA11)*AH54</f>
        <v>260304.2588</v>
      </c>
      <c r="E30" s="245">
        <f>(AD54+AA4)*$AH$54</f>
        <v>308357.0841</v>
      </c>
      <c r="F30" s="245">
        <f>(AD54*AG54+AA4)*AH54</f>
        <v>308752.9341</v>
      </c>
      <c r="G30" s="245">
        <f>(AD54+AA5)*$AH$54</f>
        <v>264386.8578</v>
      </c>
      <c r="H30" s="245">
        <f>(AD54*AG54+AA5)*AH54</f>
        <v>264782.7078</v>
      </c>
      <c r="I30" s="245">
        <f>(AD54+AA6)*$AH$54</f>
        <v>194034.4957</v>
      </c>
      <c r="J30" s="245">
        <f>(AD54*AG54+AA6)*AH54</f>
        <v>194430.3457</v>
      </c>
      <c r="K30" s="245">
        <f>(AD54+AA7)*$AH$54</f>
        <v>132476.1789</v>
      </c>
      <c r="L30" s="245">
        <f>(AD54*AG54+AA7)*AH54</f>
        <v>132872.0289</v>
      </c>
      <c r="M30" s="245">
        <f>(AD54+AA8)*$AH$54</f>
        <v>101697.0205</v>
      </c>
      <c r="N30" s="245">
        <f>(AD54*AG54+AA8)*AH54</f>
        <v>102092.8705</v>
      </c>
      <c r="O30" s="245">
        <f>(AD54+AA9)*$AH$54</f>
        <v>79711.90734</v>
      </c>
      <c r="P30" s="245">
        <f>(AD54*AG54+AA9)*AH54</f>
        <v>80107.75734</v>
      </c>
      <c r="Q30" s="245">
        <f>(AD54+AA10)*$AH$54</f>
        <v>79711.90734</v>
      </c>
      <c r="R30" s="245">
        <f>(AD54*AG54+AA10)*AH54</f>
        <v>80107.75734</v>
      </c>
      <c r="S30" s="245">
        <f>(AD54+AA12)*$AH$54</f>
        <v>719033.25</v>
      </c>
      <c r="T30" s="263"/>
      <c r="U30" s="263"/>
      <c r="V30" s="3"/>
      <c r="W30" s="3"/>
      <c r="X30" s="3"/>
      <c r="Y30" s="3"/>
      <c r="Z30" s="27" t="s">
        <v>36</v>
      </c>
      <c r="AA30" s="3"/>
      <c r="AB30" s="3"/>
      <c r="AC30" s="3"/>
      <c r="AD30" s="3"/>
      <c r="AE30" s="3"/>
      <c r="AF30" s="3"/>
      <c r="AG30" s="281" t="s">
        <v>287</v>
      </c>
      <c r="AH30" s="281" t="s">
        <v>281</v>
      </c>
      <c r="AI30" s="281" t="s">
        <v>282</v>
      </c>
      <c r="AJ30" s="281" t="s">
        <v>283</v>
      </c>
      <c r="AK30" s="281" t="s">
        <v>284</v>
      </c>
      <c r="AL30" s="3"/>
      <c r="AM30" s="3"/>
      <c r="AN30" s="3"/>
      <c r="AO30" s="281">
        <v>100.0</v>
      </c>
      <c r="AP30" s="284">
        <f>(Q7*AO30)/AO28+$AR$30</f>
        <v>2463545.3</v>
      </c>
      <c r="AQ30" s="284">
        <f>(O48*AO30)/AO28+$AR$30</f>
        <v>2604244.381</v>
      </c>
      <c r="AR30" s="3">
        <v>200.0</v>
      </c>
      <c r="BD30" s="3"/>
      <c r="BE30" s="3"/>
    </row>
    <row r="31" ht="15.75" customHeight="1">
      <c r="A31" s="108"/>
      <c r="B31" s="285">
        <v>1000.0</v>
      </c>
      <c r="C31" s="245">
        <f>(AD55+AA11)*$AH$55</f>
        <v>250946.0499</v>
      </c>
      <c r="D31" s="245">
        <f>(AD55*AG55+AA11)*AH55</f>
        <v>251328.2499</v>
      </c>
      <c r="E31" s="245">
        <f>(AD55+AA4)*$AH$55</f>
        <v>297724.0812</v>
      </c>
      <c r="F31" s="245">
        <f>(AD55*AG55+AA4)*AH55</f>
        <v>298106.2812</v>
      </c>
      <c r="G31" s="245">
        <f>(AD55+AA5)*$AH$55</f>
        <v>255270.0696</v>
      </c>
      <c r="H31" s="245">
        <f>(AD55*AG55+AA5)*AH55</f>
        <v>255652.2696</v>
      </c>
      <c r="I31" s="245">
        <f>(AD55+AA6)*$AH$55</f>
        <v>187343.651</v>
      </c>
      <c r="J31" s="245">
        <f>(AD55*AG55+AA6)*AH55</f>
        <v>187725.851</v>
      </c>
      <c r="K31" s="245">
        <f>(AD55+AA7)*$AH$55</f>
        <v>127908.0348</v>
      </c>
      <c r="L31" s="245">
        <f>(AD55*AG55+AA7)*AH55</f>
        <v>128290.2348</v>
      </c>
      <c r="M31" s="245">
        <f>(AD55+AA8)*$AH$55</f>
        <v>98190.22668</v>
      </c>
      <c r="N31" s="245">
        <f>(AD55*AG55+AA8)*AH55</f>
        <v>98572.42668</v>
      </c>
      <c r="O31" s="245">
        <f>(AD55+AA9)*$AH$55</f>
        <v>76963.22088</v>
      </c>
      <c r="P31" s="245">
        <f>(AD55*AG55+AA9)*AH55</f>
        <v>77345.42088</v>
      </c>
      <c r="Q31" s="245">
        <f>(AD55+AA10)*$AH$54</f>
        <v>79711.90734</v>
      </c>
      <c r="R31" s="245">
        <f>(AD55*AG55+AA10)*AH55</f>
        <v>77345.42088</v>
      </c>
      <c r="S31" s="245">
        <f>(AD55+AA12)*$AH$55</f>
        <v>694239</v>
      </c>
      <c r="T31" s="286"/>
      <c r="U31" s="134"/>
      <c r="V31" s="3"/>
      <c r="W31" s="3"/>
      <c r="X31" s="3"/>
      <c r="Y31" s="3"/>
      <c r="Z31" s="28"/>
      <c r="AA31" s="18" t="s">
        <v>13</v>
      </c>
      <c r="AB31" s="18" t="s">
        <v>14</v>
      </c>
      <c r="AC31" s="18" t="s">
        <v>15</v>
      </c>
      <c r="AD31" s="18" t="s">
        <v>16</v>
      </c>
      <c r="AE31" s="3"/>
      <c r="AF31" s="3"/>
      <c r="AG31" s="281" t="s">
        <v>104</v>
      </c>
      <c r="AH31" s="281" t="s">
        <v>10</v>
      </c>
      <c r="AI31" s="281" t="s">
        <v>10</v>
      </c>
      <c r="AJ31" s="281" t="s">
        <v>10</v>
      </c>
      <c r="AK31" s="281" t="s">
        <v>10</v>
      </c>
      <c r="AL31" s="3"/>
      <c r="AM31" s="3"/>
      <c r="AN31" s="3"/>
      <c r="AO31" s="281">
        <v>200.0</v>
      </c>
      <c r="AP31" s="284">
        <f>(Q8*AO31)/AO28+$AR$31</f>
        <v>4772981.519</v>
      </c>
      <c r="AQ31" s="284">
        <f>(O49*AO31)/AO28+$AR$31</f>
        <v>5055159.681</v>
      </c>
      <c r="AR31" s="3">
        <v>250.0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ht="15.75" customHeight="1">
      <c r="A32" s="108"/>
      <c r="B32" s="229" t="s">
        <v>35</v>
      </c>
      <c r="C32" s="287" t="s">
        <v>262</v>
      </c>
      <c r="D32" s="269"/>
      <c r="E32" s="287" t="s">
        <v>3</v>
      </c>
      <c r="F32" s="269"/>
      <c r="G32" s="287" t="s">
        <v>4</v>
      </c>
      <c r="H32" s="269"/>
      <c r="I32" s="287" t="s">
        <v>5</v>
      </c>
      <c r="J32" s="269"/>
      <c r="K32" s="288" t="s">
        <v>6</v>
      </c>
      <c r="L32" s="269"/>
      <c r="M32" s="287" t="s">
        <v>263</v>
      </c>
      <c r="N32" s="269"/>
      <c r="O32" s="287" t="s">
        <v>7</v>
      </c>
      <c r="P32" s="269"/>
      <c r="Q32" s="287" t="s">
        <v>271</v>
      </c>
      <c r="R32" s="269"/>
      <c r="S32" s="289" t="s">
        <v>230</v>
      </c>
      <c r="T32" s="290"/>
      <c r="U32" s="135"/>
      <c r="V32" s="3"/>
      <c r="W32" s="3"/>
      <c r="X32" s="3"/>
      <c r="Y32" s="3"/>
      <c r="Z32" s="25" t="s">
        <v>3</v>
      </c>
      <c r="AA32" s="291">
        <v>18.0</v>
      </c>
      <c r="AB32" s="291">
        <v>12.43</v>
      </c>
      <c r="AC32" s="291">
        <v>10.48</v>
      </c>
      <c r="AD32" s="291">
        <v>7.86</v>
      </c>
      <c r="AE32" s="29"/>
      <c r="AF32" s="292"/>
      <c r="AG32" s="281">
        <v>100.0</v>
      </c>
      <c r="AH32" s="293">
        <f>(AH28*AL32*AM38)+$AM$42</f>
        <v>356.46</v>
      </c>
      <c r="AI32" s="293">
        <f>(AI28*AL32*AM38)+$AM$42</f>
        <v>398.19</v>
      </c>
      <c r="AJ32" s="293">
        <f>(AJ28*AL32*AM38)+$AM$42</f>
        <v>377</v>
      </c>
      <c r="AK32" s="293">
        <f>(AK28*AL32*AM38)+$AM$42</f>
        <v>257.79143</v>
      </c>
      <c r="AL32" s="294">
        <v>2.0</v>
      </c>
      <c r="AM32" s="3"/>
      <c r="AN32" s="3"/>
      <c r="AO32" s="281">
        <v>300.0</v>
      </c>
      <c r="AP32" s="284">
        <f>(Q9*AO32)/AO28+$AR$32</f>
        <v>6928458.656</v>
      </c>
      <c r="AQ32" s="284">
        <f>(O50*AO32)/AO28+$AR$32</f>
        <v>7352895.9</v>
      </c>
      <c r="AR32" s="3">
        <v>300.0</v>
      </c>
    </row>
    <row r="33" ht="15.75" customHeight="1">
      <c r="A33" s="295"/>
      <c r="B33" s="235" t="s">
        <v>288</v>
      </c>
      <c r="C33" s="296" t="s">
        <v>10</v>
      </c>
      <c r="D33" s="297" t="s">
        <v>11</v>
      </c>
      <c r="E33" s="296" t="s">
        <v>10</v>
      </c>
      <c r="F33" s="297" t="s">
        <v>11</v>
      </c>
      <c r="G33" s="296" t="s">
        <v>10</v>
      </c>
      <c r="H33" s="297" t="s">
        <v>11</v>
      </c>
      <c r="I33" s="296" t="s">
        <v>10</v>
      </c>
      <c r="J33" s="297" t="s">
        <v>11</v>
      </c>
      <c r="K33" s="296" t="s">
        <v>10</v>
      </c>
      <c r="L33" s="297" t="s">
        <v>11</v>
      </c>
      <c r="M33" s="296" t="s">
        <v>10</v>
      </c>
      <c r="N33" s="297" t="s">
        <v>11</v>
      </c>
      <c r="O33" s="296" t="s">
        <v>10</v>
      </c>
      <c r="P33" s="297" t="s">
        <v>11</v>
      </c>
      <c r="Q33" s="296" t="s">
        <v>10</v>
      </c>
      <c r="R33" s="297" t="s">
        <v>11</v>
      </c>
      <c r="S33" s="298" t="s">
        <v>10</v>
      </c>
      <c r="T33" s="290"/>
      <c r="U33" s="135"/>
      <c r="V33" s="3"/>
      <c r="W33" s="3"/>
      <c r="X33" s="3"/>
      <c r="Y33" s="3"/>
      <c r="Z33" s="25" t="s">
        <v>4</v>
      </c>
      <c r="AA33" s="291">
        <v>15.0</v>
      </c>
      <c r="AB33" s="291">
        <v>10.28</v>
      </c>
      <c r="AC33" s="291">
        <v>8.65</v>
      </c>
      <c r="AD33" s="291">
        <v>6.49</v>
      </c>
      <c r="AE33" s="29"/>
      <c r="AF33" s="292"/>
      <c r="AG33" s="281">
        <v>200.0</v>
      </c>
      <c r="AH33" s="293">
        <f>(AH28*AL33*AM38)+$AM$42</f>
        <v>340.314</v>
      </c>
      <c r="AI33" s="293">
        <f>(AI28*AL33*AM38)+$AM$42</f>
        <v>377.871</v>
      </c>
      <c r="AJ33" s="293">
        <f>(AJ28*AL33*AM38)+$AM$42</f>
        <v>358.8</v>
      </c>
      <c r="AK33" s="293">
        <f>(AK28*AL33*AM38)+$AM$42</f>
        <v>251.512287</v>
      </c>
      <c r="AL33" s="294">
        <v>1.8</v>
      </c>
      <c r="AM33" s="3"/>
      <c r="AN33" s="3"/>
      <c r="AO33" s="281">
        <v>500.0</v>
      </c>
      <c r="AP33" s="284">
        <f>(Q10*AO33)/AO28+$AR$33</f>
        <v>11162383.39</v>
      </c>
      <c r="AQ33" s="284">
        <f>(O51*AO33)/AO28+$AR$33</f>
        <v>11871728.8</v>
      </c>
      <c r="AR33" s="3">
        <v>350.0</v>
      </c>
    </row>
    <row r="34" ht="15.75" customHeight="1">
      <c r="A34" s="108"/>
      <c r="B34" s="244">
        <v>1.0</v>
      </c>
      <c r="C34" s="245">
        <f>(AE48+AD11)*$AH$48</f>
        <v>136126.4557</v>
      </c>
      <c r="D34" s="245">
        <f>(AE48*AG48+AD11)*AH48</f>
        <v>136262.9557</v>
      </c>
      <c r="E34" s="245">
        <f>(AE48+AD4)*$AH$48</f>
        <v>135840.8854</v>
      </c>
      <c r="F34" s="245">
        <f>(AE48*AG48+AD4)*AH48</f>
        <v>135977.3854</v>
      </c>
      <c r="G34" s="245">
        <f>(AE48+AD5)*$AH$48</f>
        <v>116462.9018</v>
      </c>
      <c r="H34" s="245">
        <f>(AE48*AG48+AD5)*AH48</f>
        <v>116599.4018</v>
      </c>
      <c r="I34" s="245">
        <f>(AE48+AD6)*$AH$48</f>
        <v>85458.12795</v>
      </c>
      <c r="J34" s="245">
        <f>(AE48*AG48+AD6)*AH48</f>
        <v>85594.62795</v>
      </c>
      <c r="K34" s="245">
        <f>(AE48+AD7)*$AH$48</f>
        <v>58328.95088</v>
      </c>
      <c r="L34" s="245">
        <f>(AE48*AG48+AD7)*AH48</f>
        <v>58465.45088</v>
      </c>
      <c r="M34" s="245">
        <f>(AE48+AD8)*$AH$48</f>
        <v>44764.36234</v>
      </c>
      <c r="N34" s="245">
        <f>(AE48*AG48+AD8)*AH48</f>
        <v>44900.86234</v>
      </c>
      <c r="O34" s="245">
        <f>(AE48+AD9)*$AH$48</f>
        <v>35075.37053</v>
      </c>
      <c r="P34" s="245">
        <f>(AE48*AG48+AD9)*AH48</f>
        <v>35211.87053</v>
      </c>
      <c r="Q34" s="245">
        <f>(AE48+AD10)*$AH$48</f>
        <v>35075.37053</v>
      </c>
      <c r="R34" s="245">
        <f>(AE48*AG48+AD10)*AH48</f>
        <v>35211.87053</v>
      </c>
      <c r="S34" s="245">
        <f>(AE48+AD12)*$AH$48</f>
        <v>314008.5</v>
      </c>
      <c r="T34" s="299"/>
      <c r="U34" s="263"/>
      <c r="V34" s="3"/>
      <c r="W34" s="3"/>
      <c r="X34" s="3"/>
      <c r="Y34" s="3"/>
      <c r="Z34" s="25" t="s">
        <v>5</v>
      </c>
      <c r="AA34" s="291">
        <v>9.0</v>
      </c>
      <c r="AB34" s="291">
        <v>6.59</v>
      </c>
      <c r="AC34" s="291">
        <v>5.55</v>
      </c>
      <c r="AD34" s="291">
        <v>4.16</v>
      </c>
      <c r="AE34" s="29"/>
      <c r="AF34" s="292"/>
      <c r="AG34" s="281">
        <v>300.0</v>
      </c>
      <c r="AH34" s="293">
        <f>(AH28*AL34*AM38)+$AM$42</f>
        <v>324.168</v>
      </c>
      <c r="AI34" s="293">
        <f>(AI28*AL34*AM38)+$AM$42</f>
        <v>357.552</v>
      </c>
      <c r="AJ34" s="293">
        <f>(AJ28*AL34*AM38)+$AM$42</f>
        <v>340.6</v>
      </c>
      <c r="AK34" s="293">
        <f>(AK28*AL34*AM38)+$AM$42</f>
        <v>245.233144</v>
      </c>
      <c r="AL34" s="294">
        <v>1.6</v>
      </c>
      <c r="AM34" s="3"/>
      <c r="AN34" s="3"/>
      <c r="AO34" s="281">
        <v>1000.0</v>
      </c>
      <c r="AP34" s="284">
        <f>(Q11*AO34)/AO28+$AR$31</f>
        <v>21554521.38</v>
      </c>
      <c r="AQ34" s="284">
        <f>(O52*AO34)/AO28+$AR$34</f>
        <v>22977262.19</v>
      </c>
      <c r="AR34" s="3">
        <v>400.0</v>
      </c>
    </row>
    <row r="35" ht="15.75" customHeight="1">
      <c r="A35" s="108"/>
      <c r="B35" s="254" t="s">
        <v>179</v>
      </c>
      <c r="C35" s="245">
        <f>(AE49+AD11)*$AH$49</f>
        <v>121797.3551</v>
      </c>
      <c r="D35" s="245">
        <f>(AE49*AG49+AD11)*AH49</f>
        <v>121919.4866</v>
      </c>
      <c r="E35" s="245">
        <f>(AE49+AD4)*$AH$49</f>
        <v>121541.8448</v>
      </c>
      <c r="F35" s="245">
        <f>(AE49*AG49+AD4)*AH49</f>
        <v>121663.9764</v>
      </c>
      <c r="G35" s="245">
        <f>(AE49+AD5)*$AH$49</f>
        <v>104203.6489</v>
      </c>
      <c r="H35" s="245">
        <f>(AE49*AG49+AD5)*AH49</f>
        <v>104325.7805</v>
      </c>
      <c r="I35" s="245">
        <f>(AE49+AD6)*$AH$49</f>
        <v>76462.53553</v>
      </c>
      <c r="J35" s="245">
        <f>(AE49*AG49+AD6)*AH49</f>
        <v>76584.66711</v>
      </c>
      <c r="K35" s="245">
        <f>(AE49+AD7)*$AH$49</f>
        <v>52189.06131</v>
      </c>
      <c r="L35" s="245">
        <f>(AE49*AG49+AD7)*AH49</f>
        <v>52311.19289</v>
      </c>
      <c r="M35" s="245">
        <f>(AE49+AD8)*$AH$49</f>
        <v>40052.3242</v>
      </c>
      <c r="N35" s="245">
        <f>(AE49*AG49+AD8)*AH49</f>
        <v>40174.45578</v>
      </c>
      <c r="O35" s="245">
        <f>(AE49+AD9)*$AH$49</f>
        <v>31383.22626</v>
      </c>
      <c r="P35" s="245">
        <f>(AE49*AG49+AD9)*AH49</f>
        <v>31505.35784</v>
      </c>
      <c r="Q35" s="245">
        <f>(AE49+AD10)*$AH$49</f>
        <v>31383.22626</v>
      </c>
      <c r="R35" s="245">
        <f>(AE49*AG49+AD10)*AH49</f>
        <v>31505.35784</v>
      </c>
      <c r="S35" s="245">
        <f>(AE49+AD12)*$AH$49</f>
        <v>280954.9737</v>
      </c>
      <c r="T35" s="299"/>
      <c r="U35" s="263"/>
      <c r="V35" s="3">
        <v>50.0</v>
      </c>
      <c r="W35" s="300">
        <f t="shared" ref="W35:W39" si="27">Q7*V35/2</f>
        <v>1231672.65</v>
      </c>
      <c r="X35" s="3"/>
      <c r="Y35" s="3"/>
      <c r="Z35" s="25" t="s">
        <v>6</v>
      </c>
      <c r="AA35" s="291">
        <v>7.0</v>
      </c>
      <c r="AB35" s="291">
        <v>4.82</v>
      </c>
      <c r="AC35" s="291">
        <v>4.15</v>
      </c>
      <c r="AD35" s="291">
        <v>3.11</v>
      </c>
      <c r="AE35" s="29"/>
      <c r="AF35" s="20"/>
      <c r="AG35" s="281">
        <v>500.0</v>
      </c>
      <c r="AH35" s="293">
        <f>(AH28*AL35*AM38)+$AM$42</f>
        <v>308.022</v>
      </c>
      <c r="AI35" s="293">
        <f>(AI28*AL35*AM38)+$AM$42</f>
        <v>337.233</v>
      </c>
      <c r="AJ35" s="293">
        <f>(AJ28*AL35*AN38)+$AM$42</f>
        <v>322.4</v>
      </c>
      <c r="AK35" s="293">
        <f>(AK28*AL35*AM38)+$AM$42</f>
        <v>238.954001</v>
      </c>
      <c r="AL35" s="294">
        <v>1.4</v>
      </c>
      <c r="AM35" s="3"/>
      <c r="AN35" s="3"/>
      <c r="AO35" s="3"/>
      <c r="AP35" s="3"/>
      <c r="AQ35" s="3"/>
      <c r="AR35" s="3"/>
    </row>
    <row r="36" ht="15.75" customHeight="1">
      <c r="A36" s="108"/>
      <c r="B36" s="254" t="s">
        <v>180</v>
      </c>
      <c r="C36" s="245">
        <f>(AE50+AD11)*$AH$50</f>
        <v>118215.0799</v>
      </c>
      <c r="D36" s="245">
        <f>(AE50*AG50+AD11)*AH50</f>
        <v>118333.6194</v>
      </c>
      <c r="E36" s="245">
        <f>(AE50+AD4)*$AH$50</f>
        <v>117967.0847</v>
      </c>
      <c r="F36" s="245">
        <f>(AE50*AG50+AD4)*AH50</f>
        <v>118085.6241</v>
      </c>
      <c r="G36" s="245">
        <f>(AE50+AD5)*$AH$50</f>
        <v>101138.8357</v>
      </c>
      <c r="H36" s="245">
        <f>(AE50*AG50+AD5)*AH50</f>
        <v>101257.3752</v>
      </c>
      <c r="I36" s="245">
        <f>(AE50+AD6)*$AH$50</f>
        <v>74213.63743</v>
      </c>
      <c r="J36" s="245">
        <f>(AE50*AG50+AD6)*AH50</f>
        <v>74332.1769</v>
      </c>
      <c r="K36" s="245">
        <f>(AE50+AD7)*$AH$50</f>
        <v>50654.08892</v>
      </c>
      <c r="L36" s="245">
        <f>(AE50*AG50+AD9)*AH50</f>
        <v>30578.72967</v>
      </c>
      <c r="M36" s="245">
        <f>(AE50+AD8)*$AH$50</f>
        <v>38874.31466</v>
      </c>
      <c r="N36" s="245">
        <f>(AE50*AG50+AD8)*AH50</f>
        <v>38992.85414</v>
      </c>
      <c r="O36" s="245">
        <f>(AE50+AD9)*$AH$50</f>
        <v>30460.19019</v>
      </c>
      <c r="P36" s="245">
        <f>(AE50*AG50+AD9)*AH50</f>
        <v>30578.72967</v>
      </c>
      <c r="Q36" s="245">
        <f>(AE50+AD10)*$AH$50</f>
        <v>30460.19019</v>
      </c>
      <c r="R36" s="245">
        <f>(AE50*AG50+AD10)*AH50</f>
        <v>30578.72967</v>
      </c>
      <c r="S36" s="245">
        <f>(AE50+AD12)*$AH$50</f>
        <v>272691.5921</v>
      </c>
      <c r="T36" s="299"/>
      <c r="U36" s="263"/>
      <c r="V36" s="3">
        <v>100.0</v>
      </c>
      <c r="W36" s="300">
        <f t="shared" si="27"/>
        <v>2386365.759</v>
      </c>
      <c r="X36" s="3"/>
      <c r="Y36" s="3"/>
      <c r="Z36" s="25" t="s">
        <v>7</v>
      </c>
      <c r="AA36" s="291">
        <v>4.67</v>
      </c>
      <c r="AB36" s="291">
        <v>3.0</v>
      </c>
      <c r="AC36" s="291">
        <v>2.67</v>
      </c>
      <c r="AD36" s="291">
        <v>2.0</v>
      </c>
      <c r="AE36" s="29"/>
      <c r="AF36" s="20"/>
      <c r="AG36" s="281">
        <v>1000.0</v>
      </c>
      <c r="AH36" s="293">
        <f>(AH28*AL36*AM38)+$AM$42</f>
        <v>291.876</v>
      </c>
      <c r="AI36" s="293">
        <f>(AI28*AL36*AM38)+$AM$42</f>
        <v>316.914</v>
      </c>
      <c r="AJ36" s="293">
        <f>(AJ28*AL36*AM38)+$AM$42</f>
        <v>304.2</v>
      </c>
      <c r="AK36" s="293">
        <f>(AK28*AL36*AM38)+$AM$42</f>
        <v>232.674858</v>
      </c>
      <c r="AL36" s="294">
        <v>1.2</v>
      </c>
      <c r="AM36" s="3"/>
      <c r="AN36" s="3"/>
      <c r="AO36" s="3"/>
      <c r="AP36" s="3"/>
      <c r="AQ36" s="3"/>
      <c r="AR36" s="3"/>
    </row>
    <row r="37" ht="15.75" customHeight="1">
      <c r="A37" s="108"/>
      <c r="B37" s="254" t="s">
        <v>181</v>
      </c>
      <c r="C37" s="245">
        <f t="shared" ref="C37:C38" si="28">(AE51+AD11)*$AH$51</f>
        <v>114632.8048</v>
      </c>
      <c r="D37" s="245">
        <f>(AE51*AG51+AD11)*AH51</f>
        <v>114747.7521</v>
      </c>
      <c r="E37" s="245">
        <f>(AE51+AD4)*$AH$51</f>
        <v>114392.3245</v>
      </c>
      <c r="F37" s="245">
        <f>(AE51*AG51+AD4)*AH51</f>
        <v>114507.2719</v>
      </c>
      <c r="G37" s="245">
        <f>(AE51+AD5)*$AH$51</f>
        <v>98074.02253</v>
      </c>
      <c r="H37" s="245">
        <f>(AE51*AG51+AD5)*AH51</f>
        <v>98188.96989</v>
      </c>
      <c r="I37" s="245">
        <f>(AE51+AD6)*$AH$51</f>
        <v>71964.73933</v>
      </c>
      <c r="J37" s="245">
        <f>(AE51*AG51+AD6)*AH51</f>
        <v>72079.68669</v>
      </c>
      <c r="K37" s="245">
        <f>(AE51+AD7)*$AH$51</f>
        <v>49119.11653</v>
      </c>
      <c r="L37" s="245">
        <f>(AE51*AG51+AD7)*AH51</f>
        <v>49234.06389</v>
      </c>
      <c r="M37" s="245">
        <f>(AE51+AD8)*$AH$51</f>
        <v>37696.30513</v>
      </c>
      <c r="N37" s="245">
        <f>(AE51*AG51+AD8)*AH51</f>
        <v>37811.25249</v>
      </c>
      <c r="O37" s="245">
        <f>(AE51+AD9)*$AH$51</f>
        <v>29537.15413</v>
      </c>
      <c r="P37" s="245">
        <f>(AE51*AG51+AD9)*AH51</f>
        <v>29652.10149</v>
      </c>
      <c r="Q37" s="245">
        <f>(AE51+AD10)*$AH$51</f>
        <v>29537.15413</v>
      </c>
      <c r="R37" s="245">
        <f>(AE51*AG51+AD10)*AH51</f>
        <v>29652.10149</v>
      </c>
      <c r="S37" s="245">
        <f>(AE51+AD12)*$AH$51</f>
        <v>264428.2105</v>
      </c>
      <c r="T37" s="299"/>
      <c r="U37" s="263"/>
      <c r="V37" s="3">
        <v>150.0</v>
      </c>
      <c r="W37" s="300">
        <f t="shared" si="27"/>
        <v>3464079.328</v>
      </c>
      <c r="X37" s="3"/>
      <c r="Y37" s="3"/>
      <c r="Z37" s="25" t="s">
        <v>271</v>
      </c>
      <c r="AA37" s="291">
        <v>4.22</v>
      </c>
      <c r="AB37" s="291">
        <v>2.87</v>
      </c>
      <c r="AC37" s="291">
        <v>2.41</v>
      </c>
      <c r="AD37" s="291">
        <v>1.81</v>
      </c>
      <c r="AE37" s="29"/>
      <c r="AF37" s="20"/>
      <c r="AG37" s="3"/>
      <c r="AH37" s="3"/>
      <c r="AI37" s="3"/>
      <c r="AJ37" s="3"/>
      <c r="AK37" s="3"/>
      <c r="AL37" s="3"/>
      <c r="AM37" s="3" t="s">
        <v>289</v>
      </c>
      <c r="AN37" s="3" t="s">
        <v>290</v>
      </c>
      <c r="AO37" s="3"/>
      <c r="AP37" s="3"/>
      <c r="AQ37" s="3" t="s">
        <v>291</v>
      </c>
      <c r="AR37" s="20">
        <f>AM42</f>
        <v>195</v>
      </c>
      <c r="AS37" s="3">
        <v>1.5</v>
      </c>
      <c r="AT37" s="301" t="s">
        <v>292</v>
      </c>
      <c r="AU37" s="3"/>
      <c r="AV37" s="302" t="s">
        <v>293</v>
      </c>
      <c r="AW37" s="3"/>
      <c r="AX37" s="3"/>
      <c r="AY37" s="3"/>
      <c r="AZ37" s="3"/>
      <c r="BA37" s="3"/>
      <c r="BB37" s="3"/>
      <c r="BC37" s="3"/>
      <c r="BD37" s="3"/>
      <c r="BE37" s="3"/>
    </row>
    <row r="38" ht="15.75" customHeight="1">
      <c r="A38" s="108"/>
      <c r="B38" s="254" t="s">
        <v>182</v>
      </c>
      <c r="C38" s="245">
        <f t="shared" si="28"/>
        <v>264428.2105</v>
      </c>
      <c r="D38" s="245">
        <f>(AE52*AG52+AD11)*AH52</f>
        <v>111161.8849</v>
      </c>
      <c r="E38" s="245">
        <f>(AE52+AD4)*$AH$52</f>
        <v>110817.5644</v>
      </c>
      <c r="F38" s="245">
        <f>(AE52*AG52+AD4)*AH52</f>
        <v>110928.9196</v>
      </c>
      <c r="G38" s="245">
        <f>(AE52+AD5)*$AH$52</f>
        <v>95009.20932</v>
      </c>
      <c r="H38" s="245">
        <f>(AE52*AG52+AD5)*AH52</f>
        <v>95120.56459</v>
      </c>
      <c r="I38" s="245">
        <f>(AE52+AD6)*$AH$52</f>
        <v>69715.84122</v>
      </c>
      <c r="J38" s="245">
        <f>(AE52*AG52+AD6)*AH52</f>
        <v>69827.19649</v>
      </c>
      <c r="K38" s="245">
        <f>(AE52+AD7)*$AH$52</f>
        <v>47584.14413</v>
      </c>
      <c r="L38" s="245">
        <f>(AE52*AG52+AD7)*AH52</f>
        <v>47695.4994</v>
      </c>
      <c r="M38" s="245">
        <f>(AE52+AD8)*$AH$52</f>
        <v>36518.29559</v>
      </c>
      <c r="N38" s="245">
        <f>(AE52*AG52+AD8)*AH52</f>
        <v>36629.65085</v>
      </c>
      <c r="O38" s="245">
        <f>(AE52+AD8)*$AH$52</f>
        <v>36518.29559</v>
      </c>
      <c r="P38" s="245">
        <f>(AE52*AG52+AD9)*AH52</f>
        <v>28725.47332</v>
      </c>
      <c r="Q38" s="245">
        <f>(AE52+AD10)*$AH$52</f>
        <v>28614.11806</v>
      </c>
      <c r="R38" s="245">
        <f>(AE52*AG52+AD10)*AH52</f>
        <v>28725.47332</v>
      </c>
      <c r="S38" s="245">
        <f>(AE52+AD12)*$AH$52</f>
        <v>256164.8289</v>
      </c>
      <c r="T38" s="299"/>
      <c r="U38" s="263"/>
      <c r="V38" s="3">
        <v>250.0</v>
      </c>
      <c r="W38" s="300">
        <f t="shared" si="27"/>
        <v>5581016.695</v>
      </c>
      <c r="X38" s="32"/>
      <c r="Y38" s="32"/>
      <c r="Z38" s="25" t="s">
        <v>262</v>
      </c>
      <c r="AA38" s="303">
        <v>19.77</v>
      </c>
      <c r="AB38" s="304">
        <v>11.3</v>
      </c>
      <c r="AC38" s="304">
        <v>11.3</v>
      </c>
      <c r="AD38" s="304">
        <v>8.47</v>
      </c>
      <c r="AE38" s="29"/>
      <c r="AJ38" s="3"/>
      <c r="AK38" s="20"/>
      <c r="AL38" s="305" t="s">
        <v>198</v>
      </c>
      <c r="AM38" s="306">
        <v>650.0</v>
      </c>
      <c r="AN38" s="3">
        <v>650.0</v>
      </c>
      <c r="AO38" s="3"/>
      <c r="AP38" s="3"/>
      <c r="AQ38" s="3"/>
      <c r="AR38" s="20">
        <f>AM42</f>
        <v>195</v>
      </c>
      <c r="AS38" s="3">
        <v>1.9</v>
      </c>
      <c r="AT38" s="307">
        <f t="shared" ref="AT38:AT44" si="29">AR38*AS38</f>
        <v>370.5</v>
      </c>
      <c r="AU38" s="3"/>
      <c r="AV38" s="308">
        <f t="shared" ref="AV38:AV44" si="30">U4</f>
        <v>1341.8275</v>
      </c>
      <c r="AW38" s="3"/>
      <c r="AX38" s="3"/>
      <c r="AY38" s="3"/>
      <c r="AZ38" s="3"/>
      <c r="BA38" s="3"/>
      <c r="BB38" s="3"/>
      <c r="BC38" s="3"/>
      <c r="BD38" s="3"/>
      <c r="BE38" s="3"/>
    </row>
    <row r="39" ht="15.75" customHeight="1">
      <c r="A39" s="108"/>
      <c r="B39" s="254" t="s">
        <v>18</v>
      </c>
      <c r="C39" s="245">
        <f>(AE53+AD11)*$AH$53</f>
        <v>107468.2545</v>
      </c>
      <c r="D39" s="245">
        <f>(AE53*AG53+AD11)*AH53</f>
        <v>107576.0176</v>
      </c>
      <c r="E39" s="245">
        <f>(AE53+AD4)*$AH$53</f>
        <v>107242.8042</v>
      </c>
      <c r="F39" s="245">
        <f>(AE53*AG53+AD4)*AH53</f>
        <v>107350.5674</v>
      </c>
      <c r="G39" s="245">
        <f>(AE53+AD5)*$AH$53</f>
        <v>91944.39612</v>
      </c>
      <c r="H39" s="245">
        <f>(AE53*AG53+AD5)*AH53</f>
        <v>92052.15928</v>
      </c>
      <c r="I39" s="245">
        <f>(AE53+AD6)*$AH$53</f>
        <v>67466.94312</v>
      </c>
      <c r="J39" s="245">
        <f>(AE53*AG53+AD6)*AH53</f>
        <v>67574.70628</v>
      </c>
      <c r="K39" s="245">
        <f>(AE53+AD7)*$AH$53</f>
        <v>46049.17174</v>
      </c>
      <c r="L39" s="245">
        <f>(AE53*AG53+AD7)*AH53</f>
        <v>46156.9349</v>
      </c>
      <c r="M39" s="245">
        <f>(AE53+AD8)*$AH$53</f>
        <v>35340.28606</v>
      </c>
      <c r="N39" s="245">
        <f>(AE53*AG53+AD8)*AH53</f>
        <v>35448.04921</v>
      </c>
      <c r="O39" s="245">
        <f>(AE53+AD9)*$AH$53</f>
        <v>27691.08199</v>
      </c>
      <c r="P39" s="245">
        <f>(AE53*AG53+AD9)*AH53</f>
        <v>27798.84515</v>
      </c>
      <c r="Q39" s="245">
        <f>(AE53+AD10)*$AH$53</f>
        <v>27691.08199</v>
      </c>
      <c r="R39" s="245">
        <f>(AE53*AG53+AD10)*AH53</f>
        <v>27798.84515</v>
      </c>
      <c r="S39" s="245">
        <f>(AE53+AD12)*$AH$53</f>
        <v>247901.4474</v>
      </c>
      <c r="T39" s="299"/>
      <c r="U39" s="263"/>
      <c r="V39" s="3">
        <v>500.0</v>
      </c>
      <c r="W39" s="300">
        <f t="shared" si="27"/>
        <v>10777135.69</v>
      </c>
      <c r="X39" s="32"/>
      <c r="Y39" s="32"/>
      <c r="Z39" s="25" t="s">
        <v>230</v>
      </c>
      <c r="AA39" s="291">
        <v>23.5</v>
      </c>
      <c r="AB39" s="291">
        <v>16.26</v>
      </c>
      <c r="AC39" s="291">
        <v>13.5</v>
      </c>
      <c r="AD39" s="291">
        <v>10.0</v>
      </c>
      <c r="AE39" s="29"/>
      <c r="AJ39" s="3"/>
      <c r="AK39" s="20"/>
      <c r="AL39" s="3"/>
      <c r="AM39" s="3"/>
      <c r="AN39" s="3"/>
      <c r="AO39" s="3"/>
      <c r="AP39" s="3"/>
      <c r="AQ39" s="3"/>
      <c r="AR39" s="20">
        <f>AM42</f>
        <v>195</v>
      </c>
      <c r="AS39" s="3">
        <v>1.8</v>
      </c>
      <c r="AT39" s="307">
        <f t="shared" si="29"/>
        <v>351</v>
      </c>
      <c r="AV39" s="308">
        <f t="shared" si="30"/>
        <v>1200.5825</v>
      </c>
    </row>
    <row r="40" ht="15.75" customHeight="1">
      <c r="A40" s="108"/>
      <c r="B40" s="255" t="s">
        <v>19</v>
      </c>
      <c r="C40" s="245">
        <f>(AE54+AD11)*$AH$54</f>
        <v>103885.9793</v>
      </c>
      <c r="D40" s="245">
        <f>(AE54*AG54+AD11)*AH54</f>
        <v>103990.1504</v>
      </c>
      <c r="E40" s="245">
        <f>(AE54+AD4)*$AH$54</f>
        <v>103668.0441</v>
      </c>
      <c r="F40" s="245">
        <f>(AE54*AG54+AD4)*AH54</f>
        <v>103772.2152</v>
      </c>
      <c r="G40" s="245">
        <f>(AE54+AD5)*$AH$54</f>
        <v>88879.58291</v>
      </c>
      <c r="H40" s="245">
        <f>(AE54*AG54+AD5)*AH54</f>
        <v>88983.75397</v>
      </c>
      <c r="I40" s="245">
        <f>(AE54+AD6)*$AH$54</f>
        <v>65218.04501</v>
      </c>
      <c r="J40" s="245">
        <f>(AE54*AG54+AD6)*AH54</f>
        <v>65322.21607</v>
      </c>
      <c r="K40" s="245">
        <f>(AE54+AD7)*$AH$54</f>
        <v>44514.19935</v>
      </c>
      <c r="L40" s="245">
        <f>(AE54*AG54+AD7)*AH54</f>
        <v>44618.3704</v>
      </c>
      <c r="M40" s="245">
        <f>(AE54+AD8)*$AH$54</f>
        <v>34162.27652</v>
      </c>
      <c r="N40" s="245">
        <f>(AE54*AG54+AD8)*AH54</f>
        <v>34266.44757</v>
      </c>
      <c r="O40" s="245">
        <f>(AE54+AD9)*$AH$54</f>
        <v>26768.04593</v>
      </c>
      <c r="P40" s="245">
        <f>(AE54*AG54+AD9)*AH54</f>
        <v>26872.21698</v>
      </c>
      <c r="Q40" s="245">
        <f>(AE54+AD10)*$AH$54</f>
        <v>26768.04593</v>
      </c>
      <c r="R40" s="245">
        <f>(AE54*AG54+AD10)*AH54</f>
        <v>26872.21698</v>
      </c>
      <c r="S40" s="245">
        <f>(AE54+AD12)*$AH$54</f>
        <v>239638.0658</v>
      </c>
      <c r="T40" s="299"/>
      <c r="U40" s="263"/>
      <c r="V40" s="3"/>
      <c r="W40" s="309"/>
      <c r="X40" s="3"/>
      <c r="Y40" s="3"/>
      <c r="Z40" s="25" t="s">
        <v>247</v>
      </c>
      <c r="AA40" s="303">
        <v>0.0</v>
      </c>
      <c r="AB40" s="304">
        <v>32.7</v>
      </c>
      <c r="AC40" s="304">
        <v>32.7</v>
      </c>
      <c r="AD40" s="304">
        <v>24.5</v>
      </c>
      <c r="AE40" s="20"/>
      <c r="AJ40" s="3"/>
      <c r="AK40" s="310">
        <v>0.356</v>
      </c>
      <c r="AL40" s="51" t="s">
        <v>52</v>
      </c>
      <c r="AM40" s="20">
        <f>AM42*AN40</f>
        <v>390</v>
      </c>
      <c r="AN40" s="3">
        <v>2.0</v>
      </c>
      <c r="AO40" s="3"/>
      <c r="AP40" s="3"/>
      <c r="AQ40" s="3"/>
      <c r="AR40" s="20">
        <f>AM42</f>
        <v>195</v>
      </c>
      <c r="AS40" s="3">
        <v>1.7</v>
      </c>
      <c r="AT40" s="307">
        <f t="shared" si="29"/>
        <v>331.5</v>
      </c>
      <c r="AV40" s="308">
        <f t="shared" si="30"/>
        <v>1165.27125</v>
      </c>
    </row>
    <row r="41" ht="15.75" customHeight="1">
      <c r="A41" s="108"/>
      <c r="B41" s="285">
        <v>1000.0</v>
      </c>
      <c r="C41" s="245">
        <f>(AE55+AD11)*$AH$55</f>
        <v>100303.7042</v>
      </c>
      <c r="D41" s="245">
        <f>(AE55*AG55+AD11)*AH55</f>
        <v>100404.2831</v>
      </c>
      <c r="E41" s="245">
        <f>(AE55+AD4)*$AH$55</f>
        <v>100093.284</v>
      </c>
      <c r="F41" s="245">
        <f>(AE55*AG55+AD4)*AH55</f>
        <v>100193.8629</v>
      </c>
      <c r="G41" s="245">
        <f>(AE55+AD5)*$AH$55</f>
        <v>85814.76971</v>
      </c>
      <c r="H41" s="245">
        <f>(AE55*AG55+AD5)*AH55</f>
        <v>85915.34866</v>
      </c>
      <c r="I41" s="245">
        <f>(AE55+AD6)*$AH$55</f>
        <v>62969.14691</v>
      </c>
      <c r="J41" s="245">
        <f>(AE55*AG55+AD6)*AH55</f>
        <v>63069.72586</v>
      </c>
      <c r="K41" s="245">
        <f>(AE55+AD7)*$AH$55</f>
        <v>42979.22696</v>
      </c>
      <c r="L41" s="245">
        <f>(AE55*AG55+AD7)*AH55</f>
        <v>43079.80591</v>
      </c>
      <c r="M41" s="245">
        <f>(AE55+AD8)*$AH$55</f>
        <v>32984.26699</v>
      </c>
      <c r="N41" s="245">
        <f>(AE55*AG55+AD8)*AH55</f>
        <v>33084.84593</v>
      </c>
      <c r="O41" s="245">
        <f>(AE55+AD9)*$AH$55</f>
        <v>25845.00986</v>
      </c>
      <c r="P41" s="245">
        <f>(AE55*AG55+AD9)*AH55</f>
        <v>25945.58881</v>
      </c>
      <c r="Q41" s="245">
        <f>(AE55+AD10)*$AH$55</f>
        <v>25845.00986</v>
      </c>
      <c r="R41" s="245">
        <f>(AE55*AG55+AD10)*AH55</f>
        <v>25945.58881</v>
      </c>
      <c r="S41" s="245">
        <f>(AE55+AD12)*$AH$55</f>
        <v>231374.6842</v>
      </c>
      <c r="T41" s="286"/>
      <c r="U41" s="134"/>
      <c r="V41" s="3"/>
      <c r="W41" s="309"/>
      <c r="X41" s="3"/>
      <c r="Y41" s="3"/>
      <c r="Z41" s="25" t="s">
        <v>265</v>
      </c>
      <c r="AA41" s="36">
        <v>0.0</v>
      </c>
      <c r="AB41" s="36">
        <v>0.0</v>
      </c>
      <c r="AC41" s="311">
        <v>47.0</v>
      </c>
      <c r="AD41" s="36">
        <v>30.0</v>
      </c>
      <c r="AE41" s="20"/>
      <c r="AJ41" s="3"/>
      <c r="AK41" s="312">
        <f>AK42/1.9</f>
        <v>0.1578947368</v>
      </c>
      <c r="AL41" s="53" t="s">
        <v>53</v>
      </c>
      <c r="AM41" s="20">
        <f>AK41*AN38</f>
        <v>102.6315789</v>
      </c>
      <c r="AN41" s="3"/>
      <c r="AO41" s="3"/>
      <c r="AP41" s="3"/>
      <c r="AQ41" s="3"/>
      <c r="AR41" s="20">
        <f t="shared" ref="AR41:AR42" si="31">AM42</f>
        <v>195</v>
      </c>
      <c r="AS41" s="3">
        <v>1.6</v>
      </c>
      <c r="AT41" s="307">
        <f t="shared" si="29"/>
        <v>312</v>
      </c>
      <c r="AV41" s="308">
        <f t="shared" si="30"/>
        <v>1129.96</v>
      </c>
    </row>
    <row r="42" ht="15.75" customHeight="1">
      <c r="B42" s="313"/>
      <c r="C42" s="313"/>
      <c r="D42" s="313"/>
      <c r="E42" s="313"/>
      <c r="F42" s="313"/>
      <c r="G42" s="313"/>
      <c r="H42" s="313"/>
      <c r="I42" s="313"/>
      <c r="J42" s="314"/>
      <c r="K42" s="313"/>
      <c r="L42" s="313"/>
      <c r="M42" s="313"/>
      <c r="N42" s="313"/>
      <c r="O42" s="313"/>
      <c r="P42" s="313"/>
      <c r="Q42" s="313"/>
      <c r="R42" s="313"/>
      <c r="S42" s="313"/>
      <c r="T42" s="134"/>
      <c r="U42" s="134"/>
      <c r="V42" s="3"/>
      <c r="W42" s="309"/>
      <c r="X42" s="3"/>
      <c r="Y42" s="3"/>
      <c r="Z42" s="3"/>
      <c r="AA42" s="3"/>
      <c r="AB42" s="3"/>
      <c r="AC42" s="3"/>
      <c r="AD42" s="3"/>
      <c r="AE42" s="20"/>
      <c r="AJ42" s="3"/>
      <c r="AK42" s="312">
        <v>0.3</v>
      </c>
      <c r="AL42" s="315" t="s">
        <v>208</v>
      </c>
      <c r="AM42" s="20">
        <f>AK42*AN38</f>
        <v>195</v>
      </c>
      <c r="AN42" s="3"/>
      <c r="AO42" s="3"/>
      <c r="AP42" s="3"/>
      <c r="AQ42" s="3"/>
      <c r="AR42" s="20">
        <f t="shared" si="31"/>
        <v>195</v>
      </c>
      <c r="AS42" s="3">
        <v>1.5</v>
      </c>
      <c r="AT42" s="307">
        <f t="shared" si="29"/>
        <v>292.5</v>
      </c>
      <c r="AV42" s="308">
        <f t="shared" si="30"/>
        <v>1094.64875</v>
      </c>
    </row>
    <row r="43" ht="15.75" customHeight="1">
      <c r="B43" s="313"/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  <c r="R43" s="313"/>
      <c r="S43" s="313"/>
      <c r="T43" s="134"/>
      <c r="U43" s="134"/>
      <c r="V43" s="3"/>
      <c r="W43" s="309"/>
      <c r="X43" s="3"/>
      <c r="Y43" s="3"/>
      <c r="Z43" s="3"/>
      <c r="AA43" s="3"/>
      <c r="AB43" s="3"/>
      <c r="AC43" s="3"/>
      <c r="AD43" s="316" t="s">
        <v>294</v>
      </c>
      <c r="AE43" s="20"/>
      <c r="AJ43" s="3"/>
      <c r="AK43" s="312">
        <v>0.3</v>
      </c>
      <c r="AL43" s="315" t="s">
        <v>209</v>
      </c>
      <c r="AM43" s="3">
        <f>AK43*$AN$38</f>
        <v>195</v>
      </c>
      <c r="AN43" s="3"/>
      <c r="AO43" s="3"/>
      <c r="AP43" s="3"/>
      <c r="AQ43" s="3"/>
      <c r="AR43" s="20">
        <f>AM43</f>
        <v>195</v>
      </c>
      <c r="AS43" s="3">
        <v>1.4</v>
      </c>
      <c r="AT43" s="307">
        <f t="shared" si="29"/>
        <v>273</v>
      </c>
      <c r="AV43" s="308">
        <f t="shared" si="30"/>
        <v>1059.3375</v>
      </c>
    </row>
    <row r="44" ht="15.75" customHeight="1">
      <c r="A44" s="317" t="s">
        <v>37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34"/>
      <c r="U44" s="134"/>
      <c r="V44" s="3"/>
      <c r="W44" s="309"/>
      <c r="X44" s="218"/>
      <c r="Y44" s="218"/>
      <c r="Z44" s="3"/>
      <c r="AA44" s="3"/>
      <c r="AB44" s="3"/>
      <c r="AC44" s="3"/>
      <c r="AD44" s="3"/>
      <c r="AE44" s="3"/>
      <c r="AJ44" s="3"/>
      <c r="AK44" s="3"/>
      <c r="AL44" s="3"/>
      <c r="AM44" s="3"/>
      <c r="AN44" s="3"/>
      <c r="AO44" s="3"/>
      <c r="AP44" s="3"/>
      <c r="AQ44" s="3"/>
      <c r="AR44" s="20">
        <f>AM42</f>
        <v>195</v>
      </c>
      <c r="AS44" s="3">
        <v>1.3</v>
      </c>
      <c r="AT44" s="318">
        <f t="shared" si="29"/>
        <v>253.5</v>
      </c>
      <c r="AV44" s="319">
        <f t="shared" si="30"/>
        <v>1024.02625</v>
      </c>
    </row>
    <row r="45" ht="15.75" customHeight="1">
      <c r="B45" s="320" t="s">
        <v>295</v>
      </c>
      <c r="C45" s="321" t="s">
        <v>262</v>
      </c>
      <c r="D45" s="8"/>
      <c r="E45" s="321" t="s">
        <v>3</v>
      </c>
      <c r="F45" s="8"/>
      <c r="G45" s="321" t="s">
        <v>4</v>
      </c>
      <c r="H45" s="8"/>
      <c r="I45" s="321" t="s">
        <v>5</v>
      </c>
      <c r="J45" s="8"/>
      <c r="K45" s="321" t="s">
        <v>6</v>
      </c>
      <c r="L45" s="8"/>
      <c r="M45" s="321" t="s">
        <v>263</v>
      </c>
      <c r="N45" s="8"/>
      <c r="O45" s="321" t="s">
        <v>7</v>
      </c>
      <c r="P45" s="8"/>
      <c r="Q45" s="322" t="s">
        <v>296</v>
      </c>
      <c r="R45" s="8"/>
      <c r="S45" s="323" t="s">
        <v>230</v>
      </c>
      <c r="T45" s="135"/>
      <c r="U45" s="135"/>
      <c r="V45" s="3"/>
      <c r="W45" s="309"/>
      <c r="X45" s="3"/>
      <c r="Y45" s="3"/>
      <c r="Z45" s="3"/>
      <c r="AA45" s="3"/>
      <c r="AB45" s="3"/>
      <c r="AC45" s="3"/>
      <c r="AD45" s="3"/>
      <c r="AE45" s="3"/>
      <c r="AJ45" s="3"/>
      <c r="AK45" s="3">
        <v>0.06</v>
      </c>
      <c r="AL45" s="51" t="s">
        <v>55</v>
      </c>
      <c r="AM45" s="55">
        <f>AK45*AM38</f>
        <v>39</v>
      </c>
      <c r="AN45" s="3">
        <v>2.0</v>
      </c>
      <c r="AO45" s="3"/>
      <c r="AP45" s="3"/>
      <c r="AQ45" s="3"/>
      <c r="AR45" s="3"/>
    </row>
    <row r="46" ht="15.75" customHeight="1">
      <c r="A46" s="13"/>
      <c r="B46" s="324" t="s">
        <v>297</v>
      </c>
      <c r="C46" s="325" t="s">
        <v>40</v>
      </c>
      <c r="D46" s="326" t="s">
        <v>41</v>
      </c>
      <c r="E46" s="325" t="s">
        <v>40</v>
      </c>
      <c r="F46" s="326" t="s">
        <v>41</v>
      </c>
      <c r="G46" s="325" t="s">
        <v>40</v>
      </c>
      <c r="H46" s="326" t="s">
        <v>41</v>
      </c>
      <c r="I46" s="325" t="s">
        <v>40</v>
      </c>
      <c r="J46" s="326" t="s">
        <v>41</v>
      </c>
      <c r="K46" s="325" t="s">
        <v>40</v>
      </c>
      <c r="L46" s="326" t="s">
        <v>41</v>
      </c>
      <c r="M46" s="325" t="s">
        <v>40</v>
      </c>
      <c r="N46" s="326" t="s">
        <v>41</v>
      </c>
      <c r="O46" s="325" t="s">
        <v>40</v>
      </c>
      <c r="P46" s="326" t="s">
        <v>41</v>
      </c>
      <c r="Q46" s="327" t="s">
        <v>40</v>
      </c>
      <c r="R46" s="328" t="s">
        <v>41</v>
      </c>
      <c r="S46" s="329" t="s">
        <v>40</v>
      </c>
      <c r="T46" s="330"/>
      <c r="U46" s="330"/>
      <c r="V46" s="3">
        <v>50.0</v>
      </c>
      <c r="W46" s="300">
        <f t="shared" ref="W46:W50" si="32">Q48*V46/2</f>
        <v>1302022.191</v>
      </c>
      <c r="X46" s="135"/>
      <c r="Y46" s="135"/>
      <c r="Z46" s="135"/>
      <c r="AA46" s="3"/>
      <c r="AB46" s="3"/>
      <c r="AC46" s="4" t="s">
        <v>44</v>
      </c>
      <c r="AD46" s="40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ht="15.75" customHeight="1">
      <c r="A47" s="3"/>
      <c r="B47" s="331">
        <v>1.0</v>
      </c>
      <c r="C47" s="332">
        <f>(AA48+AC11)*$AH$48</f>
        <v>226626.5261</v>
      </c>
      <c r="D47" s="333">
        <f>(AA48*AG48+AC11)*$AH$48</f>
        <v>226678.3961</v>
      </c>
      <c r="E47" s="332">
        <f>(AA48+AC4)*$AH$48</f>
        <v>226150.5756</v>
      </c>
      <c r="F47" s="333">
        <f>(AA48*AG48+AC4)*AH$48</f>
        <v>226202.4456</v>
      </c>
      <c r="G47" s="332">
        <f>(AA48+AC5)*$AH$48</f>
        <v>193853.9363</v>
      </c>
      <c r="H47" s="333">
        <f>(AA48*AG48+AC5)*AH$48</f>
        <v>193905.8063</v>
      </c>
      <c r="I47" s="332">
        <f>(AA48+AC6)*$AH$48</f>
        <v>142179.3133</v>
      </c>
      <c r="J47" s="333">
        <f>(AA48*AG48+AC6)*AH$48</f>
        <v>142231.1833</v>
      </c>
      <c r="K47" s="332">
        <f>(AA48+AC7)*$AH$48</f>
        <v>96964.01813</v>
      </c>
      <c r="L47" s="333">
        <f>(AA48*AG48+AC7)*AH$48</f>
        <v>97015.88813</v>
      </c>
      <c r="M47" s="332">
        <f>(AA48+AC8)*$AH$48</f>
        <v>74356.37056</v>
      </c>
      <c r="N47" s="333">
        <f>(AA48*AG48+AC8)*AH$48</f>
        <v>74408.24056</v>
      </c>
      <c r="O47" s="332">
        <f>(AA48+AC9)*$AH$48</f>
        <v>58208.05088</v>
      </c>
      <c r="P47" s="333">
        <f>(AA48*AG48+AC9)*$AH48</f>
        <v>58259.92088</v>
      </c>
      <c r="Q47" s="332">
        <f>(AA48+AC10)*AH$48</f>
        <v>58208.05088</v>
      </c>
      <c r="R47" s="333">
        <f>(AA48*AG48+AC10)*AH$48</f>
        <v>58259.92088</v>
      </c>
      <c r="S47" s="332">
        <f>(AA48+AC12)*$AH$48</f>
        <v>523096.6</v>
      </c>
      <c r="T47" s="330"/>
      <c r="U47" s="330"/>
      <c r="V47" s="3">
        <v>100.0</v>
      </c>
      <c r="W47" s="300">
        <f t="shared" si="32"/>
        <v>2527454.841</v>
      </c>
      <c r="X47" s="263"/>
      <c r="Y47" s="263"/>
      <c r="Z47" s="41" t="s">
        <v>45</v>
      </c>
      <c r="AA47" s="3"/>
      <c r="AB47" s="334" t="s">
        <v>46</v>
      </c>
      <c r="AC47" s="42" t="s">
        <v>46</v>
      </c>
      <c r="AD47" s="43" t="s">
        <v>13</v>
      </c>
      <c r="AE47" s="44" t="s">
        <v>16</v>
      </c>
      <c r="AF47" s="45" t="s">
        <v>47</v>
      </c>
      <c r="AG47" s="45" t="s">
        <v>48</v>
      </c>
      <c r="AH47" s="45" t="s">
        <v>178</v>
      </c>
      <c r="AI47" s="45" t="s">
        <v>48</v>
      </c>
      <c r="AJ47" s="3"/>
      <c r="AK47" s="3"/>
      <c r="AL47" s="3"/>
      <c r="AM47" s="3"/>
      <c r="AN47" s="3"/>
      <c r="AO47" s="3"/>
      <c r="AP47" s="3"/>
      <c r="AQ47" s="3"/>
      <c r="AR47" s="3"/>
    </row>
    <row r="48" ht="15.75" customHeight="1">
      <c r="A48" s="3"/>
      <c r="B48" s="335" t="s">
        <v>298</v>
      </c>
      <c r="C48" s="332">
        <f>(AA49+AC11)*$AH$49</f>
        <v>202771.1023</v>
      </c>
      <c r="D48" s="333">
        <f>(AA49*AG49+AC11)*$AH$49</f>
        <v>202817.5123</v>
      </c>
      <c r="E48" s="332">
        <f>(AA49+AC4)*$AH$49</f>
        <v>202345.2519</v>
      </c>
      <c r="F48" s="333">
        <f>(AA49*AG49+AC4)*AH$49</f>
        <v>202391.6619</v>
      </c>
      <c r="G48" s="332">
        <f>(AA49+AC5)*$AH$49</f>
        <v>173448.2588</v>
      </c>
      <c r="H48" s="333">
        <f>(AA49*AG49+AC5)*AH$49</f>
        <v>173494.6688</v>
      </c>
      <c r="I48" s="332">
        <f>(AA49+AC6)*$AH$49</f>
        <v>127213.0698</v>
      </c>
      <c r="J48" s="333">
        <f>(AA49*AG49+AC6)*AH$49</f>
        <v>127259.4798</v>
      </c>
      <c r="K48" s="332">
        <f>(AA49+AC7)*$AH$49</f>
        <v>86757.27938</v>
      </c>
      <c r="L48" s="333">
        <f>(AA49*AG49+AC7)*AH$49</f>
        <v>86803.68938</v>
      </c>
      <c r="M48" s="332">
        <f>(AA49+AC8)*$AH$49</f>
        <v>66529.38419</v>
      </c>
      <c r="N48" s="333">
        <f>(AA49*AG49+AC8)*AH$49</f>
        <v>66575.79419</v>
      </c>
      <c r="O48" s="332">
        <f>(AA49+AC9)*$AH$49</f>
        <v>52080.88763</v>
      </c>
      <c r="P48" s="333">
        <f>(AA49*AG49+AC9)*$AH49</f>
        <v>52127.29763</v>
      </c>
      <c r="Q48" s="332">
        <f>(AA49+AC9)*AH$49</f>
        <v>52080.88763</v>
      </c>
      <c r="R48" s="333">
        <f>(AA49*AG49+AC10)*AH$49</f>
        <v>52127.29763</v>
      </c>
      <c r="S48" s="332">
        <f>(AA49+AC12)*$AH$49</f>
        <v>468033.8</v>
      </c>
      <c r="T48" s="330"/>
      <c r="U48" s="330"/>
      <c r="V48" s="3">
        <v>150.0</v>
      </c>
      <c r="W48" s="300">
        <f t="shared" si="32"/>
        <v>3676297.95</v>
      </c>
      <c r="X48" s="263"/>
      <c r="Y48" s="263"/>
      <c r="Z48" s="128">
        <v>1.0</v>
      </c>
      <c r="AA48" s="336">
        <f>AM45</f>
        <v>39</v>
      </c>
      <c r="AB48" s="337">
        <f>AM43*$AF$48</f>
        <v>195</v>
      </c>
      <c r="AC48" s="338">
        <f t="shared" ref="AC48:AC55" si="33">AF48*$AM$42</f>
        <v>195</v>
      </c>
      <c r="AD48" s="48">
        <f t="shared" ref="AD48:AD55" si="34">AF48*$AM$40</f>
        <v>390</v>
      </c>
      <c r="AE48" s="49">
        <f t="shared" ref="AE48:AE55" si="35">AF48*$AM$41</f>
        <v>102.6315789</v>
      </c>
      <c r="AF48" s="50">
        <v>1.0</v>
      </c>
      <c r="AG48" s="50">
        <v>1.7</v>
      </c>
      <c r="AH48" s="20">
        <v>1.9</v>
      </c>
      <c r="AI48" s="20">
        <f t="shared" ref="AI48:AI54" si="36">(AF48+AG48)-1</f>
        <v>1.7</v>
      </c>
      <c r="AJ48" s="3"/>
      <c r="AK48" s="3"/>
      <c r="AL48" s="41" t="s">
        <v>299</v>
      </c>
      <c r="AM48" s="42" t="s">
        <v>10</v>
      </c>
      <c r="AN48" s="3"/>
      <c r="AO48" s="42" t="s">
        <v>11</v>
      </c>
      <c r="AP48" s="3"/>
      <c r="AQ48" s="3"/>
      <c r="AR48" s="3"/>
    </row>
    <row r="49" ht="15.75" customHeight="1">
      <c r="A49" s="3"/>
      <c r="B49" s="335" t="s">
        <v>181</v>
      </c>
      <c r="C49" s="332">
        <f>(AA50+AC11)*$AH$50</f>
        <v>196807.2464</v>
      </c>
      <c r="D49" s="333">
        <f>(AA50*AG50+AC11)*$AH$50</f>
        <v>196852.2914</v>
      </c>
      <c r="E49" s="332">
        <f>(AA50+AC4)*$AH$50</f>
        <v>196393.9209</v>
      </c>
      <c r="F49" s="333">
        <f>(AA50*AG50+AC4)*AH$50</f>
        <v>196438.9659</v>
      </c>
      <c r="G49" s="332">
        <f>(AA50+AC5)*$AH$50</f>
        <v>168346.8394</v>
      </c>
      <c r="H49" s="333">
        <f>(AA50*AG50+AC5)*AH$50</f>
        <v>168391.8844</v>
      </c>
      <c r="I49" s="332">
        <f>(AA50+AC6)*$AH$50</f>
        <v>123471.5089</v>
      </c>
      <c r="J49" s="333">
        <f>(AA50*AG50+AC6)*AH$50</f>
        <v>123516.5539</v>
      </c>
      <c r="K49" s="332">
        <f>(AA50+AC7)*$AH$50</f>
        <v>84205.59469</v>
      </c>
      <c r="L49" s="333">
        <f>(AA50*AG50+AC7)*AH$50</f>
        <v>84250.63969</v>
      </c>
      <c r="M49" s="332">
        <f>(AA50+AC8)*$AH$50</f>
        <v>64572.63759</v>
      </c>
      <c r="N49" s="333">
        <f>(AA50*AG50+AC8)*AH$50</f>
        <v>64617.68259</v>
      </c>
      <c r="O49" s="332">
        <f>(AA50+AC9)*$AH$50</f>
        <v>50549.09681</v>
      </c>
      <c r="P49" s="333">
        <f>(AA50*AG50+AC9)*$AH50</f>
        <v>50594.14181</v>
      </c>
      <c r="Q49" s="332">
        <f>(AA50+AC10)*AH$50</f>
        <v>50549.09681</v>
      </c>
      <c r="R49" s="333">
        <f>(AA50*AG50+AC10)*AH$50</f>
        <v>50594.14181</v>
      </c>
      <c r="S49" s="332">
        <f>(AA50+AC12)*$AH$50</f>
        <v>454268.1</v>
      </c>
      <c r="T49" s="330"/>
      <c r="U49" s="330"/>
      <c r="V49" s="3">
        <v>250.0</v>
      </c>
      <c r="W49" s="300">
        <f t="shared" si="32"/>
        <v>5935689.398</v>
      </c>
      <c r="X49" s="263"/>
      <c r="Y49" s="263"/>
      <c r="Z49" s="21" t="s">
        <v>179</v>
      </c>
      <c r="AA49" s="336">
        <f t="shared" ref="AA49:AA55" si="37">$AM$45</f>
        <v>39</v>
      </c>
      <c r="AB49" s="337">
        <f>AM43*$AF$49</f>
        <v>195</v>
      </c>
      <c r="AC49" s="338">
        <f t="shared" si="33"/>
        <v>195</v>
      </c>
      <c r="AD49" s="48">
        <f t="shared" si="34"/>
        <v>390</v>
      </c>
      <c r="AE49" s="49">
        <f t="shared" si="35"/>
        <v>102.6315789</v>
      </c>
      <c r="AF49" s="50">
        <v>1.0</v>
      </c>
      <c r="AG49" s="50">
        <v>1.7</v>
      </c>
      <c r="AH49" s="20">
        <v>1.7</v>
      </c>
      <c r="AI49" s="20">
        <f t="shared" si="36"/>
        <v>1.7</v>
      </c>
      <c r="AJ49" s="3"/>
      <c r="AK49" s="3"/>
      <c r="AL49" s="128">
        <v>1.0</v>
      </c>
      <c r="AM49" s="47">
        <v>1.6</v>
      </c>
      <c r="AN49" s="3"/>
      <c r="AO49" s="47">
        <f t="shared" ref="AO49:AO55" si="38">AF48+AG48</f>
        <v>2.7</v>
      </c>
      <c r="AP49" s="3"/>
      <c r="AQ49" s="3"/>
      <c r="AR49" s="3"/>
    </row>
    <row r="50" ht="15.75" customHeight="1">
      <c r="A50" s="3"/>
      <c r="B50" s="335" t="s">
        <v>42</v>
      </c>
      <c r="C50" s="332">
        <f>(AA51+AC11)*$AH$51</f>
        <v>190843.3904</v>
      </c>
      <c r="D50" s="333">
        <f>(AA51*AG51+AC11)*$AH$51</f>
        <v>190887.0704</v>
      </c>
      <c r="E50" s="332">
        <f>(AA51+AC4)*$AH$51</f>
        <v>190442.59</v>
      </c>
      <c r="F50" s="333">
        <f>(AA51*AG51+AC4)*AH$51</f>
        <v>190486.27</v>
      </c>
      <c r="G50" s="332">
        <f>(AA51+AC5)*$AH$51</f>
        <v>163245.42</v>
      </c>
      <c r="H50" s="333">
        <f>(AA51*AG51+AC5)*AH$51</f>
        <v>163289.1</v>
      </c>
      <c r="I50" s="332">
        <f>(AA51+AC6)*$AH$51</f>
        <v>119729.948</v>
      </c>
      <c r="J50" s="333">
        <f>(AA51*AG51+AC6)*AH$51</f>
        <v>119773.628</v>
      </c>
      <c r="K50" s="332">
        <f>(AA51+AC7)*$AH$51</f>
        <v>81653.91</v>
      </c>
      <c r="L50" s="333">
        <f>(AA51*AG51+AC7)*AH$51</f>
        <v>81697.59</v>
      </c>
      <c r="M50" s="332">
        <f>(AA51+AC8)*$AH$51</f>
        <v>62615.891</v>
      </c>
      <c r="N50" s="333">
        <f>(AA51*AG51+AC8)*AH$51</f>
        <v>62659.571</v>
      </c>
      <c r="O50" s="332">
        <f>(AA51+AC9)*$AH$51</f>
        <v>49017.306</v>
      </c>
      <c r="P50" s="333">
        <f>(AA51*AG51+AC9)*$AH51</f>
        <v>49060.986</v>
      </c>
      <c r="Q50" s="332">
        <f>(AA51+AC10)*AH$51</f>
        <v>49017.306</v>
      </c>
      <c r="R50" s="333">
        <f>(AA51*AG51+AC10)*AH$51</f>
        <v>49060.986</v>
      </c>
      <c r="S50" s="332">
        <f>(AA51+AC12)*$AH$51</f>
        <v>440502.4</v>
      </c>
      <c r="T50" s="330"/>
      <c r="U50" s="330"/>
      <c r="V50" s="3">
        <v>500.0</v>
      </c>
      <c r="W50" s="300">
        <f t="shared" si="32"/>
        <v>11488431.09</v>
      </c>
      <c r="X50" s="263"/>
      <c r="Y50" s="263"/>
      <c r="Z50" s="21" t="s">
        <v>180</v>
      </c>
      <c r="AA50" s="336">
        <f t="shared" si="37"/>
        <v>39</v>
      </c>
      <c r="AB50" s="339">
        <f>AM43*AF$50</f>
        <v>195</v>
      </c>
      <c r="AC50" s="338">
        <f t="shared" si="33"/>
        <v>195</v>
      </c>
      <c r="AD50" s="48">
        <f t="shared" si="34"/>
        <v>390</v>
      </c>
      <c r="AE50" s="49">
        <f t="shared" si="35"/>
        <v>102.6315789</v>
      </c>
      <c r="AF50" s="50">
        <v>1.0</v>
      </c>
      <c r="AG50" s="50">
        <v>1.7</v>
      </c>
      <c r="AH50" s="20">
        <v>1.65</v>
      </c>
      <c r="AI50" s="20">
        <f t="shared" si="36"/>
        <v>1.7</v>
      </c>
      <c r="AJ50" s="3"/>
      <c r="AK50" s="3"/>
      <c r="AL50" s="21" t="s">
        <v>179</v>
      </c>
      <c r="AM50" s="47">
        <v>1.0</v>
      </c>
      <c r="AN50" s="340">
        <f t="shared" ref="AN50:AN55" si="39">AM50/$AM$49</f>
        <v>0.625</v>
      </c>
      <c r="AO50" s="47">
        <f t="shared" si="38"/>
        <v>2.7</v>
      </c>
      <c r="AP50" s="341">
        <f t="shared" ref="AP50:AP55" si="40">AO50/$AO$49</f>
        <v>1</v>
      </c>
      <c r="AQ50" s="341"/>
      <c r="AR50" s="3"/>
    </row>
    <row r="51" ht="15.75" customHeight="1">
      <c r="A51" s="3"/>
      <c r="B51" s="335" t="s">
        <v>19</v>
      </c>
      <c r="C51" s="332">
        <f>(AA52+AC11)*$AH$52</f>
        <v>184879.5345</v>
      </c>
      <c r="D51" s="333">
        <f>(AA52*AG52+AC11)*$AH$52</f>
        <v>184921.8495</v>
      </c>
      <c r="E51" s="332">
        <f>(AA52+AC4)*$AH$52</f>
        <v>184491.2591</v>
      </c>
      <c r="F51" s="333">
        <f>(AA52*AG52+AC4)*AH$52</f>
        <v>184533.5741</v>
      </c>
      <c r="G51" s="332">
        <f>(AA52+AC5)*$AH$52</f>
        <v>158144.0006</v>
      </c>
      <c r="H51" s="333">
        <f>(AA52*AG52+AC5)*AH$52</f>
        <v>158186.3156</v>
      </c>
      <c r="I51" s="332">
        <f>(AA52+AC6)*$AH$52</f>
        <v>115988.3871</v>
      </c>
      <c r="J51" s="333">
        <f>(AA52*AG52+AC6)*AH$52</f>
        <v>116030.7021</v>
      </c>
      <c r="K51" s="332">
        <f>(AA52+AC7)*$AH$52</f>
        <v>79102.22531</v>
      </c>
      <c r="L51" s="333">
        <f>(AA52*AG52+AC7)*AH$52</f>
        <v>79144.54031</v>
      </c>
      <c r="M51" s="332">
        <f>(AA52+AC8)*$AH$52</f>
        <v>60659.14441</v>
      </c>
      <c r="N51" s="333">
        <f>(AA52*AG52+AC8)*AH$52</f>
        <v>60701.45941</v>
      </c>
      <c r="O51" s="332">
        <f>(AA52+AC9)*$AH$52</f>
        <v>47485.51519</v>
      </c>
      <c r="P51" s="333">
        <f>(AA52*AG52+AC9)*$AH52</f>
        <v>47527.83019</v>
      </c>
      <c r="Q51" s="332">
        <f>(AA52+AC10)*AH$52</f>
        <v>47485.51519</v>
      </c>
      <c r="R51" s="333">
        <f>(AA52*AG52+AC10)*AH$52</f>
        <v>47527.83019</v>
      </c>
      <c r="S51" s="332">
        <f>(AA52+AC12)*$AH$52</f>
        <v>426736.7</v>
      </c>
      <c r="T51" s="330"/>
      <c r="U51" s="330"/>
      <c r="V51" s="3"/>
      <c r="W51" s="263"/>
      <c r="X51" s="263"/>
      <c r="Y51" s="263"/>
      <c r="Z51" s="21" t="s">
        <v>181</v>
      </c>
      <c r="AA51" s="336">
        <f t="shared" si="37"/>
        <v>39</v>
      </c>
      <c r="AB51" s="337">
        <f>AM43*$AF$51</f>
        <v>195</v>
      </c>
      <c r="AC51" s="338">
        <f t="shared" si="33"/>
        <v>195</v>
      </c>
      <c r="AD51" s="48">
        <f t="shared" si="34"/>
        <v>390</v>
      </c>
      <c r="AE51" s="49">
        <f t="shared" si="35"/>
        <v>102.6315789</v>
      </c>
      <c r="AF51" s="50">
        <v>1.0</v>
      </c>
      <c r="AG51" s="50">
        <v>1.7</v>
      </c>
      <c r="AH51" s="20">
        <v>1.6</v>
      </c>
      <c r="AI51" s="20">
        <f t="shared" si="36"/>
        <v>1.7</v>
      </c>
      <c r="AJ51" s="3"/>
      <c r="AK51" s="3"/>
      <c r="AL51" s="21" t="s">
        <v>180</v>
      </c>
      <c r="AM51" s="47">
        <v>0.7</v>
      </c>
      <c r="AN51" s="340">
        <f t="shared" si="39"/>
        <v>0.4375</v>
      </c>
      <c r="AO51" s="47">
        <f t="shared" si="38"/>
        <v>2.7</v>
      </c>
      <c r="AP51" s="341">
        <f t="shared" si="40"/>
        <v>1</v>
      </c>
      <c r="AQ51" s="341"/>
      <c r="AR51" s="3"/>
    </row>
    <row r="52" ht="15.75" customHeight="1">
      <c r="A52" s="3"/>
      <c r="B52" s="342" t="s">
        <v>43</v>
      </c>
      <c r="C52" s="332">
        <f>(AA53+AC11)*$AH$53</f>
        <v>178915.6785</v>
      </c>
      <c r="D52" s="333">
        <f>(AA53*AG53+AC11)*$AH$53</f>
        <v>178956.6285</v>
      </c>
      <c r="E52" s="332">
        <f>(AA53+AC4)*$AH$53</f>
        <v>178539.9281</v>
      </c>
      <c r="F52" s="333">
        <f>(AA53*AG53+AC4)*AH$53</f>
        <v>178580.8781</v>
      </c>
      <c r="G52" s="332">
        <f>(AA53+AC5)*$AH$53</f>
        <v>153042.5813</v>
      </c>
      <c r="H52" s="333">
        <f>(AA53*AG53+AC5)*AH$53</f>
        <v>153083.5313</v>
      </c>
      <c r="I52" s="332">
        <f>(AA53+AC6)*$AH$53</f>
        <v>112246.8263</v>
      </c>
      <c r="J52" s="333">
        <f>(AA53*AG53+AC6)*AH$53</f>
        <v>112287.7763</v>
      </c>
      <c r="K52" s="332">
        <f>(AA53+AC7)*$AH$53</f>
        <v>76550.54063</v>
      </c>
      <c r="L52" s="333">
        <f>(AA53*AG53+AC7)*AH$53</f>
        <v>76591.49063</v>
      </c>
      <c r="M52" s="332">
        <f>(AA53+AC8)*$AH$53</f>
        <v>58702.39781</v>
      </c>
      <c r="N52" s="333">
        <f>(AA53*AG53+AC8)*AH$53</f>
        <v>58743.34781</v>
      </c>
      <c r="O52" s="332">
        <f>(AA53+AC9)*$AH$53</f>
        <v>45953.72438</v>
      </c>
      <c r="P52" s="333">
        <f>(AA53*AG53+AC9)*$AH53</f>
        <v>45994.67438</v>
      </c>
      <c r="Q52" s="332">
        <f>(AA53+AC10)*AH$53</f>
        <v>45953.72438</v>
      </c>
      <c r="R52" s="333">
        <f>(AA53*AG53+AC10)*AH$53</f>
        <v>45994.67438</v>
      </c>
      <c r="S52" s="332">
        <f>(AA53+AC12)*$AH$53</f>
        <v>412971</v>
      </c>
      <c r="T52" s="330"/>
      <c r="U52" s="330"/>
      <c r="V52" s="3"/>
      <c r="W52" s="263"/>
      <c r="X52" s="263"/>
      <c r="Y52" s="263"/>
      <c r="Z52" s="21" t="s">
        <v>182</v>
      </c>
      <c r="AA52" s="336">
        <f t="shared" si="37"/>
        <v>39</v>
      </c>
      <c r="AB52" s="337">
        <f>AM43*$AF$52</f>
        <v>195</v>
      </c>
      <c r="AC52" s="338">
        <f t="shared" si="33"/>
        <v>195</v>
      </c>
      <c r="AD52" s="48">
        <f t="shared" si="34"/>
        <v>390</v>
      </c>
      <c r="AE52" s="49">
        <f t="shared" si="35"/>
        <v>102.6315789</v>
      </c>
      <c r="AF52" s="50">
        <v>1.0</v>
      </c>
      <c r="AG52" s="50">
        <v>1.7</v>
      </c>
      <c r="AH52" s="20">
        <v>1.55</v>
      </c>
      <c r="AI52" s="20">
        <f t="shared" si="36"/>
        <v>1.7</v>
      </c>
      <c r="AJ52" s="3"/>
      <c r="AK52" s="3"/>
      <c r="AL52" s="21" t="s">
        <v>181</v>
      </c>
      <c r="AM52" s="47">
        <v>0.6499999999999999</v>
      </c>
      <c r="AN52" s="340">
        <f t="shared" si="39"/>
        <v>0.40625</v>
      </c>
      <c r="AO52" s="47">
        <f t="shared" si="38"/>
        <v>2.7</v>
      </c>
      <c r="AP52" s="341">
        <f t="shared" si="40"/>
        <v>1</v>
      </c>
      <c r="AQ52" s="341"/>
      <c r="AR52" s="3"/>
    </row>
    <row r="53" ht="15.75" customHeight="1">
      <c r="A53" s="3"/>
      <c r="B53" s="313"/>
      <c r="C53" s="343"/>
      <c r="D53" s="343"/>
      <c r="E53" s="343"/>
      <c r="F53" s="343"/>
      <c r="G53" s="343"/>
      <c r="H53" s="343"/>
      <c r="I53" s="343"/>
      <c r="J53" s="343"/>
      <c r="K53" s="343"/>
      <c r="L53" s="344"/>
      <c r="M53" s="343"/>
      <c r="N53" s="343"/>
      <c r="O53" s="343"/>
      <c r="P53" s="343"/>
      <c r="Q53" s="343"/>
      <c r="R53" s="343"/>
      <c r="S53" s="343"/>
      <c r="T53" s="330"/>
      <c r="U53" s="330"/>
      <c r="V53" s="3"/>
      <c r="W53" s="134"/>
      <c r="X53" s="134"/>
      <c r="Y53" s="134"/>
      <c r="Z53" s="21" t="s">
        <v>18</v>
      </c>
      <c r="AA53" s="336">
        <f t="shared" si="37"/>
        <v>39</v>
      </c>
      <c r="AB53" s="337">
        <f>AM43*$AF$53</f>
        <v>195</v>
      </c>
      <c r="AC53" s="338">
        <f t="shared" si="33"/>
        <v>195</v>
      </c>
      <c r="AD53" s="48">
        <f t="shared" si="34"/>
        <v>390</v>
      </c>
      <c r="AE53" s="49">
        <f t="shared" si="35"/>
        <v>102.6315789</v>
      </c>
      <c r="AF53" s="50">
        <v>1.0</v>
      </c>
      <c r="AG53" s="50">
        <v>1.7</v>
      </c>
      <c r="AH53" s="20">
        <v>1.5</v>
      </c>
      <c r="AI53" s="20">
        <f t="shared" si="36"/>
        <v>1.7</v>
      </c>
      <c r="AJ53" s="3"/>
      <c r="AK53" s="3"/>
      <c r="AL53" s="21" t="s">
        <v>182</v>
      </c>
      <c r="AM53" s="47">
        <v>0.6000000000000001</v>
      </c>
      <c r="AN53" s="340">
        <f t="shared" si="39"/>
        <v>0.375</v>
      </c>
      <c r="AO53" s="47">
        <f t="shared" si="38"/>
        <v>2.7</v>
      </c>
      <c r="AP53" s="341">
        <f t="shared" si="40"/>
        <v>1</v>
      </c>
      <c r="AQ53" s="341"/>
      <c r="AR53" s="3"/>
    </row>
    <row r="54" ht="15.75" customHeight="1">
      <c r="B54" s="320" t="s">
        <v>300</v>
      </c>
      <c r="C54" s="322" t="s">
        <v>262</v>
      </c>
      <c r="D54" s="8"/>
      <c r="E54" s="322" t="s">
        <v>3</v>
      </c>
      <c r="F54" s="8"/>
      <c r="G54" s="322" t="s">
        <v>4</v>
      </c>
      <c r="H54" s="8"/>
      <c r="I54" s="322" t="s">
        <v>5</v>
      </c>
      <c r="J54" s="8"/>
      <c r="K54" s="322" t="s">
        <v>6</v>
      </c>
      <c r="L54" s="8"/>
      <c r="M54" s="321" t="s">
        <v>263</v>
      </c>
      <c r="N54" s="8"/>
      <c r="O54" s="322" t="s">
        <v>7</v>
      </c>
      <c r="P54" s="8"/>
      <c r="Q54" s="322" t="s">
        <v>271</v>
      </c>
      <c r="R54" s="8"/>
      <c r="S54" s="345" t="s">
        <v>230</v>
      </c>
      <c r="T54" s="330"/>
      <c r="U54" s="330"/>
      <c r="V54" s="3"/>
      <c r="W54" s="135"/>
      <c r="X54" s="135"/>
      <c r="Y54" s="135"/>
      <c r="Z54" s="136" t="s">
        <v>19</v>
      </c>
      <c r="AA54" s="336">
        <f t="shared" si="37"/>
        <v>39</v>
      </c>
      <c r="AB54" s="337">
        <f>AM43*$AF$54</f>
        <v>195</v>
      </c>
      <c r="AC54" s="338">
        <f t="shared" si="33"/>
        <v>195</v>
      </c>
      <c r="AD54" s="48">
        <f t="shared" si="34"/>
        <v>390</v>
      </c>
      <c r="AE54" s="49">
        <f t="shared" si="35"/>
        <v>102.6315789</v>
      </c>
      <c r="AF54" s="50">
        <v>1.0</v>
      </c>
      <c r="AG54" s="50">
        <v>1.7</v>
      </c>
      <c r="AH54" s="20">
        <v>1.45</v>
      </c>
      <c r="AI54" s="20">
        <f t="shared" si="36"/>
        <v>1.7</v>
      </c>
      <c r="AJ54" s="3"/>
      <c r="AK54" s="3"/>
      <c r="AL54" s="21" t="s">
        <v>18</v>
      </c>
      <c r="AM54" s="47">
        <v>0.55</v>
      </c>
      <c r="AN54" s="340">
        <f t="shared" si="39"/>
        <v>0.34375</v>
      </c>
      <c r="AO54" s="47">
        <f t="shared" si="38"/>
        <v>2.7</v>
      </c>
      <c r="AP54" s="341">
        <f t="shared" si="40"/>
        <v>1</v>
      </c>
      <c r="AQ54" s="341"/>
      <c r="AR54" s="3"/>
    </row>
    <row r="55" ht="15.75" customHeight="1">
      <c r="B55" s="324" t="s">
        <v>301</v>
      </c>
      <c r="C55" s="327" t="s">
        <v>40</v>
      </c>
      <c r="D55" s="328" t="s">
        <v>41</v>
      </c>
      <c r="E55" s="327" t="s">
        <v>40</v>
      </c>
      <c r="F55" s="328" t="s">
        <v>41</v>
      </c>
      <c r="G55" s="327" t="s">
        <v>40</v>
      </c>
      <c r="H55" s="328" t="s">
        <v>41</v>
      </c>
      <c r="I55" s="327" t="s">
        <v>40</v>
      </c>
      <c r="J55" s="328" t="s">
        <v>41</v>
      </c>
      <c r="K55" s="327" t="s">
        <v>40</v>
      </c>
      <c r="L55" s="328" t="s">
        <v>41</v>
      </c>
      <c r="M55" s="327" t="s">
        <v>40</v>
      </c>
      <c r="N55" s="328" t="s">
        <v>41</v>
      </c>
      <c r="O55" s="327" t="s">
        <v>40</v>
      </c>
      <c r="P55" s="328" t="s">
        <v>41</v>
      </c>
      <c r="Q55" s="327" t="s">
        <v>40</v>
      </c>
      <c r="R55" s="328" t="s">
        <v>41</v>
      </c>
      <c r="S55" s="346" t="s">
        <v>40</v>
      </c>
      <c r="T55" s="330"/>
      <c r="U55" s="330"/>
      <c r="V55" s="3"/>
      <c r="W55" s="135"/>
      <c r="X55" s="135"/>
      <c r="Y55" s="135"/>
      <c r="Z55" s="136">
        <v>1000.0</v>
      </c>
      <c r="AA55" s="336">
        <f t="shared" si="37"/>
        <v>39</v>
      </c>
      <c r="AB55" s="337">
        <f>AM43*$AF$55</f>
        <v>195</v>
      </c>
      <c r="AC55" s="338">
        <f t="shared" si="33"/>
        <v>195</v>
      </c>
      <c r="AD55" s="48">
        <f t="shared" si="34"/>
        <v>390</v>
      </c>
      <c r="AE55" s="49">
        <f t="shared" si="35"/>
        <v>102.6315789</v>
      </c>
      <c r="AF55" s="50">
        <v>1.0</v>
      </c>
      <c r="AG55" s="50">
        <v>1.7</v>
      </c>
      <c r="AH55" s="20">
        <v>1.4</v>
      </c>
      <c r="AI55" s="36">
        <v>1.7</v>
      </c>
      <c r="AJ55" s="3"/>
      <c r="AK55" s="3"/>
      <c r="AL55" s="136" t="s">
        <v>19</v>
      </c>
      <c r="AM55" s="47">
        <v>0.5</v>
      </c>
      <c r="AN55" s="340">
        <f t="shared" si="39"/>
        <v>0.3125</v>
      </c>
      <c r="AO55" s="47">
        <f t="shared" si="38"/>
        <v>2.7</v>
      </c>
      <c r="AP55" s="341">
        <f t="shared" si="40"/>
        <v>1</v>
      </c>
      <c r="AQ55" s="341"/>
      <c r="AR55" s="3"/>
    </row>
    <row r="56" ht="15.75" customHeight="1">
      <c r="B56" s="331">
        <v>1.0</v>
      </c>
      <c r="C56" s="332">
        <f>(AA48+AB11)*$AH$48</f>
        <v>226626.5261</v>
      </c>
      <c r="D56" s="333">
        <f>(AA48*AG48+AB11)*$AH$48</f>
        <v>226678.3961</v>
      </c>
      <c r="E56" s="332">
        <f>(AA48+AB4)*$AH$48</f>
        <v>268949.5068</v>
      </c>
      <c r="F56" s="333">
        <f>(AA48*AG48+AB4)*AH$48</f>
        <v>269001.3768</v>
      </c>
      <c r="G56" s="332">
        <f>(AA48+AB5)*$AH$48</f>
        <v>230538.7344</v>
      </c>
      <c r="H56" s="333">
        <f>(AA48*AG48+AB5)*AH$48</f>
        <v>230590.6044</v>
      </c>
      <c r="I56" s="332">
        <f>(AA48+AB6)*$AH$48</f>
        <v>169081.4986</v>
      </c>
      <c r="J56" s="333">
        <f>(AA48*AG48+AB6)*AH$48</f>
        <v>169133.3686</v>
      </c>
      <c r="K56" s="332">
        <f>(AA48+AB7)*$AH$48</f>
        <v>115306.4172</v>
      </c>
      <c r="L56" s="333">
        <f>(AA48*AG48+AB7)*AH$48</f>
        <v>115358.2872</v>
      </c>
      <c r="M56" s="332">
        <f>(AA48+AB8)*$AH$48</f>
        <v>88418.87652</v>
      </c>
      <c r="N56" s="333">
        <f>(AA48*AG48+AB8)*$AH48</f>
        <v>88470.74652</v>
      </c>
      <c r="O56" s="332">
        <f>(AA48+AB9)*AH$48</f>
        <v>69213.49032</v>
      </c>
      <c r="P56" s="333">
        <f>(AA48*AG48+AB9)*AH48</f>
        <v>69265.36032</v>
      </c>
      <c r="Q56" s="332">
        <f>(AA48+AB10)*$AH$48</f>
        <v>69213.49032</v>
      </c>
      <c r="R56" s="333">
        <f>(AA48*AG48+AB10)*$AH48</f>
        <v>69265.36032</v>
      </c>
      <c r="S56" s="332">
        <f>(AA48+AB12)*$AH$48</f>
        <v>627701.1</v>
      </c>
      <c r="T56" s="330"/>
      <c r="U56" s="330"/>
      <c r="V56" s="3"/>
      <c r="W56" s="263"/>
      <c r="X56" s="263"/>
      <c r="Y56" s="263"/>
      <c r="Z56" s="263"/>
      <c r="AA56" s="3"/>
      <c r="AB56" s="3"/>
      <c r="AC56" s="3"/>
      <c r="AD56" s="40"/>
      <c r="AE56" s="3"/>
      <c r="AF56" s="3"/>
      <c r="AG56" s="3"/>
      <c r="AH56" s="3"/>
      <c r="AI56" s="36"/>
      <c r="AJ56" s="3"/>
      <c r="AK56" s="3"/>
      <c r="AL56" s="3"/>
      <c r="AM56" s="3"/>
      <c r="AN56" s="3"/>
      <c r="AO56" s="3"/>
      <c r="AP56" s="3"/>
      <c r="AQ56" s="3"/>
      <c r="AR56" s="3"/>
    </row>
    <row r="57" ht="15.75" customHeight="1">
      <c r="A57" s="13"/>
      <c r="B57" s="335" t="s">
        <v>298</v>
      </c>
      <c r="C57" s="332">
        <f>(AA49+AB11)*$AH$49</f>
        <v>202771.1023</v>
      </c>
      <c r="D57" s="333">
        <f>(AA49*AG49+AB11)*$AH$49</f>
        <v>202817.5123</v>
      </c>
      <c r="E57" s="332">
        <f>(AA49+AB4)*$AH$49</f>
        <v>240639.0324</v>
      </c>
      <c r="F57" s="333">
        <f>(AA49*AG49+AB4)*AH$49</f>
        <v>240685.4424</v>
      </c>
      <c r="G57" s="332">
        <f>(AA49+AB5)*$AH$49</f>
        <v>206271.4992</v>
      </c>
      <c r="H57" s="333">
        <f>(AA49*AG49+AB5)*AH$49</f>
        <v>206317.9092</v>
      </c>
      <c r="I57" s="332">
        <f>(AA49+AB6)*$AH$49</f>
        <v>151283.4461</v>
      </c>
      <c r="J57" s="333">
        <f>(AA49*AG49+AB7)*AH$49</f>
        <v>103215.3096</v>
      </c>
      <c r="K57" s="332">
        <f>(AA49+AB7)*$AH$49</f>
        <v>103168.8996</v>
      </c>
      <c r="L57" s="333">
        <f>(AA49*AG49+AB7)*AH$49</f>
        <v>103215.3096</v>
      </c>
      <c r="M57" s="332">
        <f>(AA49+AB8)*$AH$49</f>
        <v>79111.62636</v>
      </c>
      <c r="N57" s="333">
        <f>(AA49*AG49+AB8)*$AH49</f>
        <v>79158.03636</v>
      </c>
      <c r="O57" s="332">
        <f>(AA49+AB9)*AH$49</f>
        <v>61927.85976</v>
      </c>
      <c r="P57" s="333">
        <f>(AA49*AG49+AB9)*AH49</f>
        <v>61974.26976</v>
      </c>
      <c r="Q57" s="332">
        <f>(AA49+AB10)*$AH$49</f>
        <v>61927.85976</v>
      </c>
      <c r="R57" s="333">
        <f>(AA49*AG49+AB10)*$AH49</f>
        <v>61974.26976</v>
      </c>
      <c r="S57" s="332">
        <f>(AA49+AB12)*$AH$49</f>
        <v>561627.3</v>
      </c>
      <c r="T57" s="330"/>
      <c r="U57" s="330"/>
      <c r="V57" s="3"/>
      <c r="W57" s="263"/>
      <c r="X57" s="263"/>
      <c r="Y57" s="263"/>
      <c r="Z57" s="263"/>
      <c r="AA57" s="3"/>
      <c r="AB57" s="41" t="s">
        <v>57</v>
      </c>
      <c r="AC57" s="56" t="s">
        <v>46</v>
      </c>
      <c r="AD57" s="43" t="s">
        <v>13</v>
      </c>
      <c r="AE57" s="57" t="s">
        <v>16</v>
      </c>
      <c r="AF57" s="45" t="s">
        <v>58</v>
      </c>
      <c r="AG57" s="45" t="s">
        <v>59</v>
      </c>
      <c r="AH57" s="3"/>
      <c r="AI57" s="36"/>
      <c r="AJ57" s="3"/>
      <c r="AK57" s="3"/>
      <c r="AL57" s="3"/>
      <c r="AM57" s="3"/>
      <c r="AN57" s="3"/>
      <c r="AO57" s="3"/>
      <c r="AP57" s="3"/>
      <c r="AQ57" s="3"/>
      <c r="AR57" s="3"/>
    </row>
    <row r="58" ht="15.75" customHeight="1">
      <c r="A58" s="3"/>
      <c r="B58" s="335" t="s">
        <v>181</v>
      </c>
      <c r="C58" s="332">
        <f>(AA50+AB11)*$AH$50</f>
        <v>196807.2464</v>
      </c>
      <c r="D58" s="333">
        <f>(AA50*AG50+AB11)*$AH$50</f>
        <v>196852.2914</v>
      </c>
      <c r="E58" s="332">
        <f>(AA50+AB5)*$AH$50</f>
        <v>200204.6904</v>
      </c>
      <c r="F58" s="333">
        <f>(AA50*AG50+AB4)*AH$50</f>
        <v>233606.4588</v>
      </c>
      <c r="G58" s="332">
        <f>(AA50+AB5)*$AH$50</f>
        <v>200204.6904</v>
      </c>
      <c r="H58" s="333">
        <f>(AA50*AG50+AB5)*AH$50</f>
        <v>200249.7354</v>
      </c>
      <c r="I58" s="332">
        <f>(AA50+AB6)*$AH$50</f>
        <v>146833.933</v>
      </c>
      <c r="J58" s="333">
        <f>(AA50*AG50+AB6)*AH$50</f>
        <v>146878.978</v>
      </c>
      <c r="K58" s="332">
        <f>(AA50+AB7)*$AH$50</f>
        <v>100134.5202</v>
      </c>
      <c r="L58" s="333">
        <f>(AA50*AG50+AB7)*AH$50</f>
        <v>100179.5652</v>
      </c>
      <c r="M58" s="332">
        <f>(AA50+AB8)*$AH$50</f>
        <v>76784.81382</v>
      </c>
      <c r="N58" s="333">
        <f>(AA50*AG50+AB8)*$AH50</f>
        <v>76829.85882</v>
      </c>
      <c r="O58" s="332">
        <f>(AA50+AB9)*AH$50</f>
        <v>60106.45212</v>
      </c>
      <c r="P58" s="333">
        <f>(AA50*AG50+AB9)*AH50</f>
        <v>60151.49712</v>
      </c>
      <c r="Q58" s="332">
        <f>(AA50+AB10)*$AH$50</f>
        <v>60106.45212</v>
      </c>
      <c r="R58" s="333">
        <f>(AA50*AG50+AB10)*$AH50</f>
        <v>60151.49712</v>
      </c>
      <c r="S58" s="332">
        <f>(AA50+AB12)*$AH$50</f>
        <v>545108.85</v>
      </c>
      <c r="T58" s="330"/>
      <c r="U58" s="330"/>
      <c r="V58" s="3"/>
      <c r="W58" s="263"/>
      <c r="X58" s="263"/>
      <c r="Y58" s="263"/>
      <c r="Z58" s="263"/>
      <c r="AA58" s="3"/>
      <c r="AB58" s="347">
        <v>1.0</v>
      </c>
      <c r="AC58" s="58">
        <f t="shared" ref="AC58:AC63" si="41">$AM$45*AF58</f>
        <v>273</v>
      </c>
      <c r="AD58" s="48">
        <f t="shared" ref="AD58:AD64" si="42">AC58*$AM$40</f>
        <v>106470</v>
      </c>
      <c r="AE58" s="59">
        <f t="shared" ref="AE58:AE64" si="43">AC58*$AM$41</f>
        <v>28018.42105</v>
      </c>
      <c r="AF58" s="348">
        <v>7.0</v>
      </c>
      <c r="AG58" s="45">
        <v>5.0</v>
      </c>
      <c r="AH58" s="3"/>
      <c r="AI58" s="36"/>
      <c r="AJ58" s="3"/>
      <c r="AK58" s="3"/>
      <c r="AL58" s="3"/>
      <c r="AM58" s="3"/>
      <c r="AN58" s="3"/>
      <c r="AO58" s="3"/>
      <c r="AP58" s="3"/>
      <c r="AQ58" s="3"/>
      <c r="AR58" s="3"/>
    </row>
    <row r="59" ht="15.75" customHeight="1">
      <c r="A59" s="3"/>
      <c r="B59" s="335" t="s">
        <v>42</v>
      </c>
      <c r="C59" s="332">
        <f>(AA51+AB11)*$AH$51</f>
        <v>190843.3904</v>
      </c>
      <c r="D59" s="333">
        <f>(AA51*AG51+AB11)*$AH$51</f>
        <v>190887.0704</v>
      </c>
      <c r="E59" s="332">
        <f>(AA51+AB4)*$AH$51</f>
        <v>226483.7952</v>
      </c>
      <c r="F59" s="333">
        <f>(AA51*AG51+AB4)*AH$51</f>
        <v>226527.4752</v>
      </c>
      <c r="G59" s="332">
        <f>(AA51+AB5)*$AH$51</f>
        <v>194137.8816</v>
      </c>
      <c r="H59" s="333">
        <f>(AA51*AG51+AB5)*AH$51</f>
        <v>194181.5616</v>
      </c>
      <c r="I59" s="332">
        <f>(AA51+AB6)*$AH$51</f>
        <v>142384.4198</v>
      </c>
      <c r="J59" s="333">
        <f>(AA51*AG51+AB9)*AH$51</f>
        <v>58328.72448</v>
      </c>
      <c r="K59" s="332">
        <f>(AA51+AB7)*$AH$51</f>
        <v>97100.1408</v>
      </c>
      <c r="L59" s="333">
        <f>(AA51*AG51+AB7)*AH$51</f>
        <v>97143.8208</v>
      </c>
      <c r="M59" s="332">
        <f>(AA51+AB8)*$AH$51</f>
        <v>74458.00128</v>
      </c>
      <c r="N59" s="333">
        <f>(AA51*AG51+AB8)*$AH51</f>
        <v>74501.68128</v>
      </c>
      <c r="O59" s="332">
        <f>(AA51+AB9)*AH$51</f>
        <v>58285.04448</v>
      </c>
      <c r="P59" s="333">
        <f>(AA51*AG51+AB9)*AH51</f>
        <v>58328.72448</v>
      </c>
      <c r="Q59" s="332">
        <f>(AA51+AB10)*$AH$51</f>
        <v>58285.04448</v>
      </c>
      <c r="R59" s="333">
        <f>(AA51*AG51+AB10)*$AH51</f>
        <v>58328.72448</v>
      </c>
      <c r="S59" s="332">
        <f>(AA51+AB12)*$AH$51</f>
        <v>528590.4</v>
      </c>
      <c r="T59" s="330"/>
      <c r="U59" s="330"/>
      <c r="V59" s="3"/>
      <c r="W59" s="263"/>
      <c r="X59" s="263"/>
      <c r="Y59" s="263"/>
      <c r="Z59" s="263"/>
      <c r="AA59" s="3"/>
      <c r="AB59" s="37" t="s">
        <v>298</v>
      </c>
      <c r="AC59" s="58">
        <f t="shared" si="41"/>
        <v>195</v>
      </c>
      <c r="AD59" s="48">
        <f t="shared" si="42"/>
        <v>76050</v>
      </c>
      <c r="AE59" s="59">
        <f t="shared" si="43"/>
        <v>20013.15789</v>
      </c>
      <c r="AF59" s="50">
        <v>5.0</v>
      </c>
      <c r="AG59" s="45">
        <v>3.5</v>
      </c>
      <c r="AH59" s="3"/>
      <c r="AI59" s="36"/>
      <c r="AJ59" s="3"/>
      <c r="AK59" s="3"/>
      <c r="AL59" s="3"/>
      <c r="AM59" s="3"/>
      <c r="AN59" s="3"/>
      <c r="AO59" s="3"/>
      <c r="AP59" s="3"/>
      <c r="AQ59" s="3"/>
      <c r="AR59" s="3"/>
    </row>
    <row r="60" ht="15.75" customHeight="1">
      <c r="A60" s="3"/>
      <c r="B60" s="335" t="s">
        <v>19</v>
      </c>
      <c r="C60" s="332">
        <f>(AA52+AB11)*$AH$52</f>
        <v>184879.5345</v>
      </c>
      <c r="D60" s="333">
        <f>(AA52*AG52+AB11)*$AH$52</f>
        <v>184921.8495</v>
      </c>
      <c r="E60" s="332">
        <f>(AA52+AB4)*$AH$52</f>
        <v>219406.1766</v>
      </c>
      <c r="F60" s="333">
        <f>(AA52*AG52+AB4)*AH$52</f>
        <v>219448.4916</v>
      </c>
      <c r="G60" s="332">
        <f>(AA52+AB5)*$AH$52</f>
        <v>188071.0728</v>
      </c>
      <c r="H60" s="333">
        <f>(AA52*AG52+AB5)*AH$52</f>
        <v>188113.3878</v>
      </c>
      <c r="I60" s="332">
        <f>(AA52+AB6)*$AH$52</f>
        <v>137934.9067</v>
      </c>
      <c r="J60" s="333">
        <f>(AA52*AG52+AB6)*AH$52</f>
        <v>137977.2217</v>
      </c>
      <c r="K60" s="332">
        <f>(AA52+AB7)*$AH$52</f>
        <v>94065.7614</v>
      </c>
      <c r="L60" s="333">
        <f>(AA52*AG52+AB7)*AH$52</f>
        <v>94108.0764</v>
      </c>
      <c r="M60" s="332">
        <f>(AA52+AB8)*$AH$52</f>
        <v>72131.18874</v>
      </c>
      <c r="N60" s="333">
        <f>(AA52*AG52+AB8)*$AH52</f>
        <v>72173.50374</v>
      </c>
      <c r="O60" s="332">
        <f>(AA52+AB9)*AH$52</f>
        <v>56463.63684</v>
      </c>
      <c r="P60" s="333">
        <f>(AA52*AG52+AB9)*AH52</f>
        <v>56505.95184</v>
      </c>
      <c r="Q60" s="332">
        <f>(AA52+AB10)*$AH$52</f>
        <v>56463.63684</v>
      </c>
      <c r="R60" s="333">
        <f>(AA52*AG52+AB10)*$AH52</f>
        <v>56505.95184</v>
      </c>
      <c r="S60" s="332">
        <f>(AA52+AB12)*$AH$52</f>
        <v>512071.95</v>
      </c>
      <c r="T60" s="330"/>
      <c r="U60" s="330"/>
      <c r="V60" s="3"/>
      <c r="W60" s="263"/>
      <c r="X60" s="263"/>
      <c r="Y60" s="263"/>
      <c r="Z60" s="263"/>
      <c r="AA60" s="3"/>
      <c r="AB60" s="37" t="s">
        <v>181</v>
      </c>
      <c r="AC60" s="58">
        <f t="shared" si="41"/>
        <v>175.5</v>
      </c>
      <c r="AD60" s="48">
        <f t="shared" si="42"/>
        <v>68445</v>
      </c>
      <c r="AE60" s="59">
        <f t="shared" si="43"/>
        <v>18011.84211</v>
      </c>
      <c r="AF60" s="50">
        <v>4.5</v>
      </c>
      <c r="AG60" s="45">
        <v>3.0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ht="15.75" customHeight="1">
      <c r="A61" s="3"/>
      <c r="B61" s="342" t="s">
        <v>43</v>
      </c>
      <c r="C61" s="332">
        <f>(AA53+AB11)*$AH$53</f>
        <v>178915.6785</v>
      </c>
      <c r="D61" s="333">
        <f>(AA53*AG53+AB11)*$AH$53</f>
        <v>178956.6285</v>
      </c>
      <c r="E61" s="332">
        <f>(AA53+AB4)*$AH$53</f>
        <v>212328.558</v>
      </c>
      <c r="F61" s="333">
        <f>(AA53*AG53+AB4)*AH$53</f>
        <v>212369.508</v>
      </c>
      <c r="G61" s="332">
        <f>(AA53+AB5)*$AH$53</f>
        <v>182004.264</v>
      </c>
      <c r="H61" s="333">
        <f>(AA53*AG53+AB5)*AH$53</f>
        <v>182045.214</v>
      </c>
      <c r="I61" s="332">
        <f>(AA53+AB6)*$AH$53</f>
        <v>133485.3936</v>
      </c>
      <c r="J61" s="333">
        <f>(AA53*AG53+AB6)*AH$53</f>
        <v>133526.3436</v>
      </c>
      <c r="K61" s="332">
        <f>(AA53+AB7)*$AH$53</f>
        <v>91031.382</v>
      </c>
      <c r="L61" s="333">
        <f>(AA53*AG53+AB7)*AH$53</f>
        <v>91072.332</v>
      </c>
      <c r="M61" s="332">
        <f>(AA53+AB8)*$AH$53</f>
        <v>69804.3762</v>
      </c>
      <c r="N61" s="333">
        <f>(AA53*AG53+AB8)*$AH53</f>
        <v>69845.3262</v>
      </c>
      <c r="O61" s="332">
        <f>(AA53+AB9)*AH$53</f>
        <v>54642.2292</v>
      </c>
      <c r="P61" s="333">
        <f>(AA53*AG53+AB9)*AH53</f>
        <v>54683.1792</v>
      </c>
      <c r="Q61" s="332">
        <f>(AA53+AB10)*$AH$53</f>
        <v>54642.2292</v>
      </c>
      <c r="R61" s="333">
        <f>(AA53*AG53+AB10)*$AH53</f>
        <v>54683.1792</v>
      </c>
      <c r="S61" s="332">
        <f>(AA53+AB12)*$AH$53</f>
        <v>495553.5</v>
      </c>
      <c r="T61" s="330"/>
      <c r="U61" s="330"/>
      <c r="V61" s="3"/>
      <c r="W61" s="263" t="s">
        <v>302</v>
      </c>
      <c r="X61" s="263"/>
      <c r="Y61" s="263"/>
      <c r="Z61" s="263"/>
      <c r="AA61" s="3"/>
      <c r="AB61" s="37" t="s">
        <v>42</v>
      </c>
      <c r="AC61" s="58">
        <f t="shared" si="41"/>
        <v>156</v>
      </c>
      <c r="AD61" s="48">
        <f t="shared" si="42"/>
        <v>60840</v>
      </c>
      <c r="AE61" s="59">
        <f t="shared" si="43"/>
        <v>16010.52632</v>
      </c>
      <c r="AF61" s="50">
        <v>4.0</v>
      </c>
      <c r="AG61" s="45">
        <v>2.5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ht="15.75" customHeight="1">
      <c r="A62" s="3"/>
      <c r="B62" s="313"/>
      <c r="C62" s="343"/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30"/>
      <c r="U62" s="330"/>
      <c r="V62" s="3"/>
      <c r="W62" s="134">
        <v>1.3</v>
      </c>
      <c r="X62" s="134"/>
      <c r="Y62" s="134"/>
      <c r="Z62" s="134"/>
      <c r="AA62" s="3"/>
      <c r="AB62" s="37" t="s">
        <v>19</v>
      </c>
      <c r="AC62" s="58">
        <f t="shared" si="41"/>
        <v>117</v>
      </c>
      <c r="AD62" s="48">
        <f t="shared" si="42"/>
        <v>45630</v>
      </c>
      <c r="AE62" s="59">
        <f t="shared" si="43"/>
        <v>12007.89474</v>
      </c>
      <c r="AF62" s="50">
        <v>3.0</v>
      </c>
      <c r="AG62" s="45">
        <v>2.0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ht="15.75" customHeight="1">
      <c r="A63" s="3"/>
      <c r="B63" s="320" t="s">
        <v>23</v>
      </c>
      <c r="C63" s="322" t="s">
        <v>262</v>
      </c>
      <c r="D63" s="8"/>
      <c r="E63" s="322" t="s">
        <v>3</v>
      </c>
      <c r="F63" s="8"/>
      <c r="G63" s="322" t="s">
        <v>4</v>
      </c>
      <c r="H63" s="8"/>
      <c r="I63" s="322" t="s">
        <v>5</v>
      </c>
      <c r="J63" s="8"/>
      <c r="K63" s="322" t="s">
        <v>6</v>
      </c>
      <c r="L63" s="8"/>
      <c r="M63" s="321" t="s">
        <v>263</v>
      </c>
      <c r="N63" s="8"/>
      <c r="O63" s="322" t="s">
        <v>7</v>
      </c>
      <c r="P63" s="8"/>
      <c r="Q63" s="322" t="s">
        <v>271</v>
      </c>
      <c r="R63" s="8"/>
      <c r="S63" s="345" t="s">
        <v>230</v>
      </c>
      <c r="T63" s="330"/>
      <c r="U63" s="330"/>
      <c r="V63" s="3"/>
      <c r="W63" s="263">
        <v>130.0</v>
      </c>
      <c r="X63" s="349">
        <f>W63*W62</f>
        <v>169</v>
      </c>
      <c r="Y63" s="135"/>
      <c r="Z63" s="135"/>
      <c r="AA63" s="3"/>
      <c r="AB63" s="39" t="s">
        <v>43</v>
      </c>
      <c r="AC63" s="58">
        <f t="shared" si="41"/>
        <v>78</v>
      </c>
      <c r="AD63" s="48">
        <f t="shared" si="42"/>
        <v>30420</v>
      </c>
      <c r="AE63" s="59">
        <f t="shared" si="43"/>
        <v>8005.263158</v>
      </c>
      <c r="AF63" s="348">
        <v>2.0</v>
      </c>
      <c r="AG63" s="45">
        <v>2.0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ht="15.75" customHeight="1">
      <c r="A64" s="3"/>
      <c r="B64" s="324" t="s">
        <v>276</v>
      </c>
      <c r="C64" s="327" t="s">
        <v>40</v>
      </c>
      <c r="D64" s="328" t="s">
        <v>41</v>
      </c>
      <c r="E64" s="327" t="s">
        <v>40</v>
      </c>
      <c r="F64" s="328" t="s">
        <v>41</v>
      </c>
      <c r="G64" s="327" t="s">
        <v>40</v>
      </c>
      <c r="H64" s="328" t="s">
        <v>41</v>
      </c>
      <c r="I64" s="327" t="s">
        <v>40</v>
      </c>
      <c r="J64" s="328" t="s">
        <v>41</v>
      </c>
      <c r="K64" s="327" t="s">
        <v>40</v>
      </c>
      <c r="L64" s="328" t="s">
        <v>41</v>
      </c>
      <c r="M64" s="327" t="s">
        <v>40</v>
      </c>
      <c r="N64" s="328" t="s">
        <v>41</v>
      </c>
      <c r="O64" s="327" t="s">
        <v>40</v>
      </c>
      <c r="P64" s="328" t="s">
        <v>41</v>
      </c>
      <c r="Q64" s="327" t="s">
        <v>40</v>
      </c>
      <c r="R64" s="328" t="s">
        <v>41</v>
      </c>
      <c r="S64" s="346" t="s">
        <v>40</v>
      </c>
      <c r="T64" s="330"/>
      <c r="U64" s="330"/>
      <c r="V64" s="3"/>
      <c r="W64" s="263">
        <v>119.60000000000001</v>
      </c>
      <c r="X64" s="349">
        <f>W64*W62</f>
        <v>155.48</v>
      </c>
      <c r="Y64" s="135"/>
      <c r="Z64" s="135"/>
      <c r="AA64" s="3"/>
      <c r="AB64" s="39" t="s">
        <v>303</v>
      </c>
      <c r="AC64" s="58">
        <v>1.5</v>
      </c>
      <c r="AD64" s="48">
        <f t="shared" si="42"/>
        <v>585</v>
      </c>
      <c r="AE64" s="59">
        <f t="shared" si="43"/>
        <v>153.9473684</v>
      </c>
      <c r="AF64" s="348">
        <v>2.0</v>
      </c>
      <c r="AG64" s="45">
        <v>1.5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ht="15.75" customHeight="1">
      <c r="A65" s="3"/>
      <c r="B65" s="331">
        <v>1.0</v>
      </c>
      <c r="C65" s="332">
        <f>(AA11+AA48*AN40)*AH$48</f>
        <v>339976.8392</v>
      </c>
      <c r="D65" s="332">
        <f>(AA11+AA48*AN40)*AG48*$AH48</f>
        <v>577960.6266</v>
      </c>
      <c r="E65" s="332">
        <f>(AA4+AA48*AN40)*$AH48</f>
        <v>403461.3102</v>
      </c>
      <c r="F65" s="332">
        <f>(AA4+AA48*AN40)*AH48*AG48</f>
        <v>685884.2273</v>
      </c>
      <c r="G65" s="332">
        <f>(AA5+AA48*AN40)*AH48</f>
        <v>345845.1516</v>
      </c>
      <c r="H65" s="332">
        <f>(AA5+AA48*AN40)*AH48*AG48</f>
        <v>587936.7577</v>
      </c>
      <c r="I65" s="332">
        <f>(AA6+AA48*AN40)*AH48</f>
        <v>253659.2978</v>
      </c>
      <c r="J65" s="332">
        <f>(AA6+AA48*AN40)*AH48*AG48</f>
        <v>431220.8063</v>
      </c>
      <c r="K65" s="332">
        <f>(AA7+AA48*AN40)*AH48</f>
        <v>172996.6758</v>
      </c>
      <c r="L65" s="332">
        <f>(AA7+AA48*AN40)*AH48*AG48</f>
        <v>294094.3489</v>
      </c>
      <c r="M65" s="332">
        <f>(AA8+AA48*AN40)*AH48</f>
        <v>132665.3648</v>
      </c>
      <c r="N65" s="332">
        <f>(AA8+AA48*AN40)*AH48*AG48</f>
        <v>225531.1201</v>
      </c>
      <c r="O65" s="332">
        <f>(AA9+AA48*AN40)*$AH$48</f>
        <v>103857.2855</v>
      </c>
      <c r="P65" s="332">
        <f>(AA9+AA48*AN40)*AH48*AG48</f>
        <v>176557.3853</v>
      </c>
      <c r="Q65" s="332">
        <f>(AA10+AA48*AN40)*$AH$48</f>
        <v>103857.2855</v>
      </c>
      <c r="R65" s="332">
        <f>(AC9+AA48*AN40)*AH48*AG48</f>
        <v>99079.65649</v>
      </c>
      <c r="S65" s="332">
        <f>(AA12+AA48*AN40)*$AH$48</f>
        <v>941588.7</v>
      </c>
      <c r="T65" s="330"/>
      <c r="U65" s="330"/>
      <c r="V65" s="3"/>
      <c r="W65" s="263">
        <v>110.5</v>
      </c>
      <c r="X65" s="349">
        <f>W65*W62</f>
        <v>143.65</v>
      </c>
      <c r="Y65" s="263"/>
      <c r="Z65" s="263"/>
      <c r="AA65" s="3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ht="15.75" customHeight="1">
      <c r="A66" s="3"/>
      <c r="B66" s="335" t="s">
        <v>298</v>
      </c>
      <c r="C66" s="332">
        <f>(AA11+AA49*AN40)*AH$49</f>
        <v>304189.8035</v>
      </c>
      <c r="D66" s="332">
        <f>(AA11+AA49*AN40)*AG49*$AH49</f>
        <v>517122.6659</v>
      </c>
      <c r="E66" s="332">
        <f>(AA4+AA49*AN40)*$AH49</f>
        <v>360991.6986</v>
      </c>
      <c r="F66" s="332">
        <f>(AA4+AA49*AN40)*AH49*AG49</f>
        <v>613685.8876</v>
      </c>
      <c r="G66" s="332">
        <f>(AA5+AA49*AN40)*AH49</f>
        <v>309440.3988</v>
      </c>
      <c r="H66" s="332">
        <f>(AA5+AA49*AN40)*AH49*AG49</f>
        <v>526048.678</v>
      </c>
      <c r="I66" s="332">
        <f>(AA6+AA49*AN40)*AH49</f>
        <v>226958.3191</v>
      </c>
      <c r="J66" s="332">
        <f>(AA6+AA49*AN40)*AH49*AG49</f>
        <v>385829.1425</v>
      </c>
      <c r="K66" s="332">
        <f>(AA7+AA49*AN40)*AH49</f>
        <v>154786.4994</v>
      </c>
      <c r="L66" s="332">
        <f>(AA7+AA49*AN40)*AH49*AG49</f>
        <v>263137.049</v>
      </c>
      <c r="M66" s="332">
        <f>(AA8+AA49*AN40)*AH49</f>
        <v>118700.5895</v>
      </c>
      <c r="N66" s="332">
        <f>(AA8+AA49*AN40)*AH49*AG49</f>
        <v>201791.0022</v>
      </c>
      <c r="O66" s="332">
        <f>(AA9+AA49*AN40)*$AH$49</f>
        <v>92924.93964</v>
      </c>
      <c r="P66" s="332">
        <f>(AA9+AA49*AN40)*AH49*AG49</f>
        <v>157972.3974</v>
      </c>
      <c r="Q66" s="332">
        <f>(AA10+AA49*AN40)*$AH$49</f>
        <v>92924.93964</v>
      </c>
      <c r="R66" s="332">
        <f>(AA10+AA49*AN40)*AH49*AG49</f>
        <v>157972.3974</v>
      </c>
      <c r="S66" s="332">
        <f>(AA12+AA49*AN40)*$AH$49</f>
        <v>842474.1</v>
      </c>
      <c r="T66" s="330"/>
      <c r="U66" s="330"/>
      <c r="V66" s="3"/>
      <c r="W66" s="263">
        <v>91.0</v>
      </c>
      <c r="X66" s="349">
        <f>W66*W62</f>
        <v>118.3</v>
      </c>
      <c r="Y66" s="263"/>
      <c r="Z66" s="263"/>
      <c r="AA66" s="192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ht="15.75" customHeight="1">
      <c r="A67" s="13"/>
      <c r="B67" s="335" t="s">
        <v>181</v>
      </c>
      <c r="C67" s="332">
        <f>(AA11+AA50*AN40)*AH$50</f>
        <v>295243.0445</v>
      </c>
      <c r="D67" s="332">
        <f>(AA11+AA50*AN40)*AG50*$AH50</f>
        <v>501913.1757</v>
      </c>
      <c r="E67" s="332">
        <f>(AA4+AA50*AN40)*$AH50</f>
        <v>350374.2957</v>
      </c>
      <c r="F67" s="332">
        <f>(AA4+AA50*AN40)*AH50*AG50</f>
        <v>595636.3027</v>
      </c>
      <c r="G67" s="332">
        <f>(AA5+AA50*AN40)*AH50</f>
        <v>300339.2106</v>
      </c>
      <c r="H67" s="332">
        <f>(AA5+AA50*AN40)*AH50*AG50</f>
        <v>510576.658</v>
      </c>
      <c r="I67" s="332">
        <f>(AA6+AA50*AN40)*AH50</f>
        <v>220283.0744</v>
      </c>
      <c r="J67" s="332">
        <f>(AA6+AA50*AN40)*AH50*AG50</f>
        <v>374481.2265</v>
      </c>
      <c r="K67" s="332">
        <f>(AA7+AA50*AN40)*AH50</f>
        <v>150233.9553</v>
      </c>
      <c r="L67" s="332">
        <f>(AA7+AA50*AN40)*AH50*AG50</f>
        <v>255397.724</v>
      </c>
      <c r="M67" s="332">
        <f>(AA8+AA50*AN40)*AH50</f>
        <v>115209.3957</v>
      </c>
      <c r="N67" s="332">
        <f>(AA8+AA50*AN40)*AH50*AG50</f>
        <v>195855.9727</v>
      </c>
      <c r="O67" s="332">
        <f>(AA9+AA50*AN40)*$AH$50</f>
        <v>90191.85318</v>
      </c>
      <c r="P67" s="332">
        <f>(AA9+AA50*AN40)*AH50*AG50</f>
        <v>153326.1504</v>
      </c>
      <c r="Q67" s="332">
        <f>(AA10+AA50*AN40)*$AH$50</f>
        <v>90191.85318</v>
      </c>
      <c r="R67" s="332">
        <f>(AA10+AA50*AN40)*AH50*AG50</f>
        <v>153326.1504</v>
      </c>
      <c r="S67" s="332">
        <f>(AA12+AA50*AN40)*$AH$50</f>
        <v>817695.45</v>
      </c>
      <c r="T67" s="330"/>
      <c r="U67" s="330"/>
      <c r="V67" s="3"/>
      <c r="W67" s="263">
        <v>92.3</v>
      </c>
      <c r="X67" s="349">
        <f>W67*W62</f>
        <v>119.99</v>
      </c>
      <c r="Y67" s="263"/>
      <c r="Z67" s="263"/>
      <c r="AA67" s="3"/>
      <c r="AB67" s="51" t="s">
        <v>55</v>
      </c>
      <c r="AC67" s="55">
        <v>0.3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ht="15.75" customHeight="1">
      <c r="A68" s="3"/>
      <c r="B68" s="335" t="s">
        <v>42</v>
      </c>
      <c r="C68" s="332">
        <f>(AA11+AA51*AN40)*AH$51</f>
        <v>286296.2856</v>
      </c>
      <c r="D68" s="332">
        <f>(AA11+AA51*AN40)*AG51*$AH51</f>
        <v>486703.6855</v>
      </c>
      <c r="E68" s="332">
        <f>(AA4+AA51*AN40)*$AH51</f>
        <v>339756.8928</v>
      </c>
      <c r="F68" s="332">
        <f>(AA4+AA51*AN40)*AH51*AG51</f>
        <v>577586.7178</v>
      </c>
      <c r="G68" s="332">
        <f>(AA5+AA51*AN40)*AH51</f>
        <v>291238.0224</v>
      </c>
      <c r="H68" s="332">
        <f>(AA5+AA51*AN40)*AH51*AG51</f>
        <v>495104.6381</v>
      </c>
      <c r="I68" s="332">
        <f>(AA6+AA51*AN40)*AH51</f>
        <v>213607.8298</v>
      </c>
      <c r="J68" s="332">
        <f>(AA6+AA51*AN40)*AH51*AG51</f>
        <v>363133.3106</v>
      </c>
      <c r="K68" s="332">
        <f>(AA7+AA51*AN40)*AH51</f>
        <v>145681.4112</v>
      </c>
      <c r="L68" s="332">
        <f>(AA7+AA51*AN40)*AH51*AG51</f>
        <v>247658.399</v>
      </c>
      <c r="M68" s="332">
        <f>(AA8+AA51*AN40)*AH51</f>
        <v>111718.2019</v>
      </c>
      <c r="N68" s="332">
        <f>(AA8+AA51*AN40)*AH51*AG51</f>
        <v>189920.9433</v>
      </c>
      <c r="O68" s="332">
        <f>(AA9+AA51*AN40)*$AH$51</f>
        <v>87458.76672</v>
      </c>
      <c r="P68" s="332">
        <f>(AA9+AA51*AN40)*AH51*AG51</f>
        <v>148679.9034</v>
      </c>
      <c r="Q68" s="332">
        <f>(AA10+AA51*AN40)*$AH$51</f>
        <v>87458.76672</v>
      </c>
      <c r="R68" s="332">
        <f>(AA10+AA51*AN40)*AH51*AG51</f>
        <v>148679.9034</v>
      </c>
      <c r="S68" s="332">
        <f>(AA12+AA51*AN40)*$AH$51</f>
        <v>792916.8</v>
      </c>
      <c r="T68" s="330"/>
      <c r="U68" s="330"/>
      <c r="V68" s="3"/>
      <c r="W68" s="263">
        <v>83.2</v>
      </c>
      <c r="X68" s="349">
        <f>W68*W62</f>
        <v>108.16</v>
      </c>
      <c r="Y68" s="263"/>
      <c r="Z68" s="26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ht="15.75" customHeight="1">
      <c r="A69" s="3"/>
      <c r="B69" s="335" t="s">
        <v>19</v>
      </c>
      <c r="C69" s="332">
        <f>(AA11+AA52*AN40)*AH$52</f>
        <v>277349.5267</v>
      </c>
      <c r="D69" s="332">
        <f>(AA11+AA52*AN40)*AG52*$AH52</f>
        <v>471494.1953</v>
      </c>
      <c r="E69" s="332">
        <f>(AA4+AA52*AN40)*$AH52</f>
        <v>329139.4899</v>
      </c>
      <c r="F69" s="332">
        <f>(AA4+AA52*AN40)*AH52*AG52</f>
        <v>559537.1328</v>
      </c>
      <c r="G69" s="332">
        <f>(AA5+AA52*AN40)*AH52</f>
        <v>282136.8342</v>
      </c>
      <c r="H69" s="332">
        <f>(AA5+AA52*AN40)*AH52*AG52</f>
        <v>479632.6181</v>
      </c>
      <c r="I69" s="332">
        <f>(AA6+AA52*AN40)*AH52</f>
        <v>206932.5851</v>
      </c>
      <c r="J69" s="332">
        <f>(AA6+AA52*AN40)*AH52*AG52</f>
        <v>351785.3946</v>
      </c>
      <c r="K69" s="332">
        <f>(AA7+AA52*AN40)*AH52</f>
        <v>141128.8671</v>
      </c>
      <c r="L69" s="332">
        <f>(AA7+AA52*AN40)*AH52*AG52</f>
        <v>239919.0741</v>
      </c>
      <c r="M69" s="332">
        <f>(AA8+AA52*AN40)*AH52</f>
        <v>108227.0081</v>
      </c>
      <c r="N69" s="332">
        <f>(AA8+AA52*AN40)*AH52*AG52</f>
        <v>183985.9138</v>
      </c>
      <c r="O69" s="332">
        <f>(AA9+AA52*AN40)*$AH$52</f>
        <v>84725.68026</v>
      </c>
      <c r="P69" s="332">
        <f>(AA9+AA52*AN40)*AH52*AG52</f>
        <v>144033.6564</v>
      </c>
      <c r="Q69" s="332">
        <f>(AA10+AA52*AN40)*$AH$52</f>
        <v>84725.68026</v>
      </c>
      <c r="R69" s="332">
        <f>(AA10+AA52*AN40)*AH52*AG52</f>
        <v>144033.6564</v>
      </c>
      <c r="S69" s="332">
        <f>(AA12+AA52*AN40)*$AH$52</f>
        <v>768138.15</v>
      </c>
      <c r="T69" s="330"/>
      <c r="U69" s="330"/>
      <c r="V69" s="3"/>
      <c r="W69" s="263">
        <v>72.8</v>
      </c>
      <c r="X69" s="349">
        <f>W69*W62</f>
        <v>94.64</v>
      </c>
      <c r="Y69" s="263"/>
      <c r="Z69" s="263"/>
      <c r="AA69" s="3"/>
      <c r="AB69" s="350" t="s">
        <v>295</v>
      </c>
      <c r="AC69" s="351" t="s">
        <v>262</v>
      </c>
      <c r="AD69" s="352"/>
      <c r="AE69" s="351" t="s">
        <v>3</v>
      </c>
      <c r="AF69" s="352"/>
      <c r="AG69" s="351" t="s">
        <v>4</v>
      </c>
      <c r="AH69" s="352"/>
      <c r="AI69" s="351" t="s">
        <v>5</v>
      </c>
      <c r="AJ69" s="352"/>
      <c r="AK69" s="351" t="s">
        <v>6</v>
      </c>
      <c r="AL69" s="352"/>
      <c r="AM69" s="351" t="s">
        <v>7</v>
      </c>
      <c r="AN69" s="352"/>
      <c r="AO69" s="353" t="s">
        <v>230</v>
      </c>
      <c r="AP69" s="353" t="s">
        <v>265</v>
      </c>
      <c r="AQ69" s="353"/>
      <c r="AR69" s="354" t="s">
        <v>304</v>
      </c>
    </row>
    <row r="70" ht="15.75" customHeight="1">
      <c r="A70" s="3"/>
      <c r="B70" s="342" t="s">
        <v>43</v>
      </c>
      <c r="C70" s="332">
        <f>(AA11+AA53*AN40)*AH$53</f>
        <v>268402.7678</v>
      </c>
      <c r="D70" s="332">
        <f>(AA11+AA53*AN40)*AG53*$AH53</f>
        <v>456284.7052</v>
      </c>
      <c r="E70" s="332">
        <f>(AA4+AA53*AN40)*$AH53</f>
        <v>318522.087</v>
      </c>
      <c r="F70" s="332">
        <f>(AA4+AA53*AN40)*AH53*AG53</f>
        <v>541487.5479</v>
      </c>
      <c r="G70" s="332">
        <f>(AA5+AA53*AN40)*AH53</f>
        <v>273035.646</v>
      </c>
      <c r="H70" s="332">
        <f>(AA5+AA53*AN40)*AH53*AG53</f>
        <v>464160.5982</v>
      </c>
      <c r="I70" s="332">
        <f>(AA6+AA53*AN40)*AH53</f>
        <v>200257.3404</v>
      </c>
      <c r="J70" s="332">
        <f>(AA6+AA53*AN40)*AH53*AG53</f>
        <v>340437.4787</v>
      </c>
      <c r="K70" s="332">
        <f>(AA7+AA53*AN40)*AH53</f>
        <v>136576.323</v>
      </c>
      <c r="L70" s="332">
        <f>(AA7+AA53*AN40)*AH53*AG53</f>
        <v>232179.7491</v>
      </c>
      <c r="M70" s="332">
        <f>(AA8+AA53*AN40)*AH53</f>
        <v>104735.8143</v>
      </c>
      <c r="N70" s="332">
        <f>(AA8+AA53*AN40)*AH53*AG53</f>
        <v>178050.8843</v>
      </c>
      <c r="O70" s="332">
        <f>(AA9+AA53*AN40)*$AH$53</f>
        <v>81992.5938</v>
      </c>
      <c r="P70" s="332">
        <f>(AA10+AA53*AN40)*AH53*AG53</f>
        <v>139387.4095</v>
      </c>
      <c r="Q70" s="332">
        <f>(AA10+AA53*AN40)*$AH$53</f>
        <v>81992.5938</v>
      </c>
      <c r="R70" s="332">
        <f>(AA10+AA53*AN40)*AH53*AG53</f>
        <v>139387.4095</v>
      </c>
      <c r="S70" s="332">
        <f>(AA12+AA53*AN40)*$AH$53</f>
        <v>743359.5</v>
      </c>
      <c r="T70" s="330"/>
      <c r="U70" s="330"/>
      <c r="V70" s="3"/>
      <c r="W70" s="263"/>
      <c r="X70" s="263"/>
      <c r="Y70" s="263"/>
      <c r="Z70" s="263"/>
      <c r="AA70" s="3"/>
      <c r="AB70" s="355" t="s">
        <v>297</v>
      </c>
      <c r="AC70" s="356" t="s">
        <v>10</v>
      </c>
      <c r="AD70" s="357" t="s">
        <v>11</v>
      </c>
      <c r="AE70" s="356" t="s">
        <v>10</v>
      </c>
      <c r="AF70" s="357" t="s">
        <v>11</v>
      </c>
      <c r="AG70" s="356" t="s">
        <v>10</v>
      </c>
      <c r="AH70" s="357" t="s">
        <v>11</v>
      </c>
      <c r="AI70" s="356" t="s">
        <v>10</v>
      </c>
      <c r="AJ70" s="357" t="s">
        <v>11</v>
      </c>
      <c r="AK70" s="356" t="s">
        <v>10</v>
      </c>
      <c r="AL70" s="357" t="s">
        <v>11</v>
      </c>
      <c r="AM70" s="356" t="s">
        <v>10</v>
      </c>
      <c r="AN70" s="357" t="s">
        <v>11</v>
      </c>
      <c r="AO70" s="358" t="s">
        <v>10</v>
      </c>
      <c r="AP70" s="358" t="s">
        <v>10</v>
      </c>
      <c r="AQ70" s="359"/>
      <c r="AR70" s="359" t="s">
        <v>10</v>
      </c>
    </row>
    <row r="71" ht="15.75" customHeight="1">
      <c r="F71" s="218"/>
      <c r="M71" s="218"/>
      <c r="N71" s="3"/>
      <c r="Q71" s="3"/>
      <c r="R71" s="3"/>
      <c r="T71" s="330"/>
      <c r="U71" s="330"/>
      <c r="V71" s="3"/>
      <c r="X71" s="3"/>
      <c r="Y71" s="3"/>
      <c r="Z71" s="134"/>
      <c r="AA71" s="3"/>
      <c r="AB71" s="360">
        <v>1.0</v>
      </c>
      <c r="AC71" s="361"/>
      <c r="AD71" s="362"/>
      <c r="AE71" s="363">
        <f t="shared" ref="AE71:AF71" si="44">$AM$42*(AH48+1)+$AC$4</f>
        <v>119553.1188</v>
      </c>
      <c r="AF71" s="363">
        <f t="shared" si="44"/>
        <v>119514.1188</v>
      </c>
      <c r="AG71" s="363"/>
      <c r="AH71" s="364"/>
      <c r="AI71" s="363"/>
      <c r="AJ71" s="364"/>
      <c r="AK71" s="363"/>
      <c r="AL71" s="364"/>
      <c r="AM71" s="363"/>
      <c r="AN71" s="364"/>
      <c r="AO71" s="365"/>
      <c r="AP71" s="366"/>
      <c r="AQ71" s="367"/>
      <c r="AR71" s="367"/>
    </row>
    <row r="72" ht="15.75" customHeight="1">
      <c r="B72" s="320" t="s">
        <v>35</v>
      </c>
      <c r="C72" s="322" t="s">
        <v>262</v>
      </c>
      <c r="D72" s="8"/>
      <c r="E72" s="322" t="s">
        <v>3</v>
      </c>
      <c r="F72" s="8"/>
      <c r="G72" s="322" t="s">
        <v>4</v>
      </c>
      <c r="H72" s="8"/>
      <c r="I72" s="322" t="s">
        <v>5</v>
      </c>
      <c r="J72" s="8"/>
      <c r="K72" s="322" t="s">
        <v>6</v>
      </c>
      <c r="L72" s="8"/>
      <c r="M72" s="321" t="s">
        <v>263</v>
      </c>
      <c r="N72" s="8"/>
      <c r="O72" s="322" t="s">
        <v>7</v>
      </c>
      <c r="P72" s="8"/>
      <c r="Q72" s="322" t="s">
        <v>271</v>
      </c>
      <c r="R72" s="8"/>
      <c r="S72" s="345" t="s">
        <v>230</v>
      </c>
      <c r="T72" s="330"/>
      <c r="U72" s="330"/>
      <c r="V72" s="3"/>
      <c r="X72" s="3"/>
      <c r="Y72" s="3"/>
      <c r="Z72" s="135"/>
      <c r="AA72" s="3"/>
      <c r="AB72" s="368" t="s">
        <v>179</v>
      </c>
      <c r="AC72" s="363"/>
      <c r="AD72" s="364"/>
      <c r="AE72" s="363">
        <f t="shared" ref="AE72:AF72" si="45">$AM$42*(AH49+1)+$AC$4</f>
        <v>119514.1188</v>
      </c>
      <c r="AF72" s="363">
        <f t="shared" si="45"/>
        <v>119514.1188</v>
      </c>
      <c r="AG72" s="369"/>
      <c r="AH72" s="364"/>
      <c r="AI72" s="369"/>
      <c r="AJ72" s="364"/>
      <c r="AK72" s="369"/>
      <c r="AL72" s="364"/>
      <c r="AM72" s="369"/>
      <c r="AN72" s="364"/>
      <c r="AO72" s="370"/>
      <c r="AP72" s="365"/>
      <c r="AQ72" s="371"/>
      <c r="AR72" s="371"/>
    </row>
    <row r="73" ht="15.75" customHeight="1">
      <c r="B73" s="324" t="s">
        <v>288</v>
      </c>
      <c r="C73" s="327" t="s">
        <v>40</v>
      </c>
      <c r="D73" s="328" t="s">
        <v>41</v>
      </c>
      <c r="E73" s="327" t="s">
        <v>40</v>
      </c>
      <c r="F73" s="328" t="s">
        <v>41</v>
      </c>
      <c r="G73" s="327" t="s">
        <v>40</v>
      </c>
      <c r="H73" s="328" t="s">
        <v>41</v>
      </c>
      <c r="I73" s="327" t="s">
        <v>40</v>
      </c>
      <c r="J73" s="328" t="s">
        <v>41</v>
      </c>
      <c r="K73" s="327" t="s">
        <v>40</v>
      </c>
      <c r="L73" s="328" t="s">
        <v>41</v>
      </c>
      <c r="M73" s="327" t="s">
        <v>40</v>
      </c>
      <c r="N73" s="328" t="s">
        <v>41</v>
      </c>
      <c r="O73" s="327" t="s">
        <v>40</v>
      </c>
      <c r="P73" s="328" t="s">
        <v>41</v>
      </c>
      <c r="Q73" s="327" t="s">
        <v>40</v>
      </c>
      <c r="R73" s="328" t="s">
        <v>41</v>
      </c>
      <c r="S73" s="346" t="s">
        <v>40</v>
      </c>
      <c r="T73" s="330"/>
      <c r="U73" s="330"/>
      <c r="V73" s="3"/>
      <c r="X73" s="3"/>
      <c r="Y73" s="3"/>
      <c r="Z73" s="135"/>
      <c r="AA73" s="3"/>
      <c r="AB73" s="368" t="s">
        <v>180</v>
      </c>
      <c r="AC73" s="363"/>
      <c r="AD73" s="364"/>
      <c r="AE73" s="363">
        <f t="shared" ref="AE73:AF73" si="46">$AM$42*(AH50+1)+$AC$4</f>
        <v>119504.3688</v>
      </c>
      <c r="AF73" s="363">
        <f t="shared" si="46"/>
        <v>119514.1188</v>
      </c>
      <c r="AG73" s="369"/>
      <c r="AH73" s="364"/>
      <c r="AI73" s="369"/>
      <c r="AJ73" s="364"/>
      <c r="AK73" s="369"/>
      <c r="AL73" s="364"/>
      <c r="AM73" s="369"/>
      <c r="AN73" s="364"/>
      <c r="AO73" s="370"/>
      <c r="AP73" s="365"/>
      <c r="AQ73" s="371"/>
      <c r="AR73" s="371"/>
    </row>
    <row r="74" ht="15.75" customHeight="1">
      <c r="B74" s="331">
        <v>1.0</v>
      </c>
      <c r="C74" s="332">
        <f>(AA48+AD11)*$AH$48</f>
        <v>136005.5557</v>
      </c>
      <c r="D74" s="333">
        <f>(AA48*AG48+AD11)*$AH$48</f>
        <v>136057.4257</v>
      </c>
      <c r="E74" s="332">
        <f>(AA48+AD4)*$AH$48</f>
        <v>135719.9854</v>
      </c>
      <c r="F74" s="333">
        <f>(AA48*AG48+AD4)*AH$48</f>
        <v>135771.8554</v>
      </c>
      <c r="G74" s="332">
        <f>(AA48+AD5)*$AH$48</f>
        <v>116342.0018</v>
      </c>
      <c r="H74" s="333">
        <f>(AA48*AG48+AD5)*AH$48</f>
        <v>116393.8718</v>
      </c>
      <c r="I74" s="332">
        <f>(AA48+AD6)*$AH$48</f>
        <v>85337.22795</v>
      </c>
      <c r="J74" s="333">
        <f>(AA48*AG48+AD6)*AH$48</f>
        <v>85389.09795</v>
      </c>
      <c r="K74" s="332">
        <f>(AA48+AD7)*$AH$48</f>
        <v>58208.05088</v>
      </c>
      <c r="L74" s="333">
        <f>(AA48*AG48+AD7)*AH$48</f>
        <v>58259.92088</v>
      </c>
      <c r="M74" s="332">
        <f>(AA48+AD8)*$AH$48</f>
        <v>44643.46234</v>
      </c>
      <c r="N74" s="333">
        <f>(AA48*AG48+AD8)*$AH48</f>
        <v>44695.33234</v>
      </c>
      <c r="O74" s="332">
        <f>(AA48+AD9)*AH$48</f>
        <v>34954.47053</v>
      </c>
      <c r="P74" s="333">
        <f>(AA48*AG48+AD9)*AH48</f>
        <v>35006.34053</v>
      </c>
      <c r="Q74" s="332">
        <f>(AA48+AD10)*$AH$48</f>
        <v>34954.47053</v>
      </c>
      <c r="R74" s="333">
        <f>(AA48*AG48+AD10)*$AH48</f>
        <v>35006.34053</v>
      </c>
      <c r="S74" s="332">
        <f>(AA48+AD12)*AH$48</f>
        <v>313887.6</v>
      </c>
      <c r="T74" s="330"/>
      <c r="U74" s="330"/>
      <c r="V74" s="3"/>
      <c r="X74" s="3"/>
      <c r="Y74" s="3"/>
      <c r="Z74" s="263"/>
      <c r="AA74" s="3"/>
      <c r="AB74" s="368" t="s">
        <v>181</v>
      </c>
      <c r="AC74" s="363"/>
      <c r="AD74" s="364"/>
      <c r="AE74" s="363">
        <f t="shared" ref="AE74:AF74" si="47">$AM$42*(AH51+1)+$AC$4</f>
        <v>119494.6188</v>
      </c>
      <c r="AF74" s="363">
        <f t="shared" si="47"/>
        <v>119514.1188</v>
      </c>
      <c r="AG74" s="369"/>
      <c r="AH74" s="364"/>
      <c r="AI74" s="369"/>
      <c r="AJ74" s="364"/>
      <c r="AK74" s="369"/>
      <c r="AL74" s="364"/>
      <c r="AM74" s="369"/>
      <c r="AN74" s="364"/>
      <c r="AO74" s="370"/>
      <c r="AP74" s="365"/>
      <c r="AQ74" s="371"/>
      <c r="AR74" s="371"/>
    </row>
    <row r="75" ht="15.75" customHeight="1">
      <c r="B75" s="335" t="s">
        <v>298</v>
      </c>
      <c r="C75" s="332">
        <f>(AA49+AD11)*$AH$49</f>
        <v>121689.1814</v>
      </c>
      <c r="D75" s="333">
        <f>(AA49*AG49+AD11)*$AH$49</f>
        <v>121735.5914</v>
      </c>
      <c r="E75" s="332">
        <f>(AA49+AD4)*$AH$49</f>
        <v>121433.6711</v>
      </c>
      <c r="F75" s="333">
        <f>(AA49*AG49+AD4)*AH$49</f>
        <v>121480.0811</v>
      </c>
      <c r="G75" s="332">
        <f>(AA48+AD5)*$AH$49</f>
        <v>104095.4753</v>
      </c>
      <c r="H75" s="333">
        <f>(AA49*AG49+AD5)*AH$49</f>
        <v>104141.8853</v>
      </c>
      <c r="I75" s="332">
        <f>(AA49+AD6)*$AH$49</f>
        <v>76354.36185</v>
      </c>
      <c r="J75" s="333">
        <f>(AA49*AG49+AD6)*AH$49</f>
        <v>76400.77185</v>
      </c>
      <c r="K75" s="332">
        <f>(AA49+AD7)*$AH$49</f>
        <v>52080.88763</v>
      </c>
      <c r="L75" s="333">
        <f>(AA49*AG49+AD7)*AH$49</f>
        <v>52127.29763</v>
      </c>
      <c r="M75" s="332">
        <f>(AA49+AD8)*$AH$49</f>
        <v>39944.15051</v>
      </c>
      <c r="N75" s="333">
        <f>(AA49*AG49+AD8)*$AH49</f>
        <v>39990.56051</v>
      </c>
      <c r="O75" s="332">
        <f>(AA49+AD9)*AH$49</f>
        <v>31275.05258</v>
      </c>
      <c r="P75" s="333">
        <f>(AA49*AG49+AD9)*AH49</f>
        <v>31321.46258</v>
      </c>
      <c r="Q75" s="332">
        <f>(AA49+AD10)*$AH$49</f>
        <v>31275.05258</v>
      </c>
      <c r="R75" s="333">
        <f>(AA49*AG49+AD10)*$AH49</f>
        <v>31321.46258</v>
      </c>
      <c r="S75" s="332">
        <f>(AA49+AD12)*AH$49</f>
        <v>280846.8</v>
      </c>
      <c r="T75" s="330"/>
      <c r="U75" s="330"/>
      <c r="V75" s="3"/>
      <c r="X75" s="3"/>
      <c r="Y75" s="3"/>
      <c r="Z75" s="263"/>
      <c r="AA75" s="3"/>
      <c r="AB75" s="368" t="s">
        <v>182</v>
      </c>
      <c r="AC75" s="363"/>
      <c r="AD75" s="364"/>
      <c r="AE75" s="363">
        <f t="shared" ref="AE75:AF75" si="48">$AM$42*(AH52+1)+$AC$4</f>
        <v>119484.8688</v>
      </c>
      <c r="AF75" s="363">
        <f t="shared" si="48"/>
        <v>119514.1188</v>
      </c>
      <c r="AG75" s="369"/>
      <c r="AH75" s="364"/>
      <c r="AI75" s="369"/>
      <c r="AJ75" s="364"/>
      <c r="AK75" s="369"/>
      <c r="AL75" s="364"/>
      <c r="AM75" s="369"/>
      <c r="AN75" s="364"/>
      <c r="AO75" s="370"/>
      <c r="AP75" s="365"/>
      <c r="AQ75" s="371"/>
      <c r="AR75" s="371"/>
    </row>
    <row r="76" ht="15.75" customHeight="1">
      <c r="B76" s="335" t="s">
        <v>181</v>
      </c>
      <c r="C76" s="332">
        <f>(AA50+AD11)*$AH$50</f>
        <v>118110.0878</v>
      </c>
      <c r="D76" s="333">
        <f>(AA50*AG50+AD11)*$AH$50</f>
        <v>118155.1328</v>
      </c>
      <c r="E76" s="332">
        <f>(AA50+AD4)*$AH$50</f>
        <v>117862.0926</v>
      </c>
      <c r="F76" s="333">
        <f>(AA50*AG50+AD4)*AH$50</f>
        <v>117907.1376</v>
      </c>
      <c r="G76" s="332">
        <f>(AA50+AD5)*$AH$50</f>
        <v>101033.8436</v>
      </c>
      <c r="H76" s="333">
        <f>(AA50*AG50+AD5)*AH$50</f>
        <v>101078.8886</v>
      </c>
      <c r="I76" s="332">
        <f>(AA50+AD6)*$AH$50</f>
        <v>74108.64533</v>
      </c>
      <c r="J76" s="333">
        <f>(AA50*AG50+AD6)*AH$50</f>
        <v>74153.69033</v>
      </c>
      <c r="K76" s="332">
        <f>(AA50+AD7)*$AH$50</f>
        <v>50549.09681</v>
      </c>
      <c r="L76" s="333">
        <f>(AA50*AG50+AD7)*AH$50</f>
        <v>50594.14181</v>
      </c>
      <c r="M76" s="332">
        <f>(AA50+AD8)*$AH$50</f>
        <v>38769.32256</v>
      </c>
      <c r="N76" s="333">
        <f>(AA50*AG50+AD8)*$AH50</f>
        <v>38814.36756</v>
      </c>
      <c r="O76" s="332">
        <f>(AA50+AD8)*AH$50</f>
        <v>38769.32256</v>
      </c>
      <c r="P76" s="333">
        <f>(AA50*AG50+AD9)*AH50</f>
        <v>30400.24309</v>
      </c>
      <c r="Q76" s="332">
        <f>(AA50+AD10)*$AH$50</f>
        <v>30355.19809</v>
      </c>
      <c r="R76" s="333">
        <f>(AA50*AG50+AD10)*$AH50</f>
        <v>30400.24309</v>
      </c>
      <c r="S76" s="332">
        <f>(AA50+AD12)*AH$50</f>
        <v>272586.6</v>
      </c>
      <c r="T76" s="330"/>
      <c r="U76" s="330"/>
      <c r="V76" s="3"/>
      <c r="X76" s="3"/>
      <c r="Y76" s="3"/>
      <c r="Z76" s="263"/>
      <c r="AA76" s="3"/>
      <c r="AB76" s="368" t="s">
        <v>18</v>
      </c>
      <c r="AC76" s="363"/>
      <c r="AD76" s="364"/>
      <c r="AE76" s="363">
        <f t="shared" ref="AE76:AF76" si="49">$AM$42*(AH53+1)+$AC$4</f>
        <v>119475.1188</v>
      </c>
      <c r="AF76" s="363">
        <f t="shared" si="49"/>
        <v>119514.1188</v>
      </c>
      <c r="AG76" s="369"/>
      <c r="AH76" s="364"/>
      <c r="AI76" s="369"/>
      <c r="AJ76" s="364"/>
      <c r="AK76" s="369"/>
      <c r="AL76" s="364"/>
      <c r="AM76" s="369"/>
      <c r="AN76" s="364"/>
      <c r="AO76" s="370"/>
      <c r="AP76" s="365"/>
      <c r="AQ76" s="371"/>
      <c r="AR76" s="371"/>
    </row>
    <row r="77" ht="15.75" customHeight="1">
      <c r="B77" s="335" t="s">
        <v>42</v>
      </c>
      <c r="C77" s="332">
        <f>(AA51+AD11)*$AH$51</f>
        <v>114530.9942</v>
      </c>
      <c r="D77" s="333">
        <f>(AA51*AG51+AD11)*$AH$51</f>
        <v>114574.6742</v>
      </c>
      <c r="E77" s="332">
        <f>(AA51+AD4)*$AH$51</f>
        <v>114290.514</v>
      </c>
      <c r="F77" s="333">
        <f>(AA51*AG51+AD4)*AH$51</f>
        <v>114334.194</v>
      </c>
      <c r="G77" s="332">
        <f>(AA51+AD5)*$AH$51</f>
        <v>97972.212</v>
      </c>
      <c r="H77" s="333">
        <f>(AA51*AG51+AD5)*AH$51</f>
        <v>98015.892</v>
      </c>
      <c r="I77" s="332">
        <f>(AA51+AD6)*$AH$51</f>
        <v>71862.9288</v>
      </c>
      <c r="J77" s="333">
        <f>(AA51*AG51+AD6)*AH$51</f>
        <v>71906.6088</v>
      </c>
      <c r="K77" s="332">
        <f>(AA51+AD7)*$AH$51</f>
        <v>49017.306</v>
      </c>
      <c r="L77" s="333">
        <f>(AA51*AG51+AD7)*AH$51</f>
        <v>49060.986</v>
      </c>
      <c r="M77" s="332">
        <f>(AA51+AD8)*$AH$51</f>
        <v>37594.4946</v>
      </c>
      <c r="N77" s="333">
        <f>(AA51*AG51+AD8)*$AH51</f>
        <v>37638.1746</v>
      </c>
      <c r="O77" s="332">
        <f>(AA51+AD9)*AH$51</f>
        <v>29435.3436</v>
      </c>
      <c r="P77" s="333">
        <f>(AA51*AG51+AD9)*AH51</f>
        <v>29479.0236</v>
      </c>
      <c r="Q77" s="332">
        <f>(AA51+AD10)*$AH$51</f>
        <v>29435.3436</v>
      </c>
      <c r="R77" s="333">
        <f>(AA51*AG51+AD10)*$AH51</f>
        <v>29479.0236</v>
      </c>
      <c r="S77" s="332">
        <f>(AA51+AD12)*AH$51</f>
        <v>264326.4</v>
      </c>
      <c r="T77" s="330"/>
      <c r="U77" s="330"/>
      <c r="V77" s="3"/>
      <c r="X77" s="3"/>
      <c r="Y77" s="3"/>
      <c r="Z77" s="263"/>
      <c r="AA77" s="3"/>
      <c r="AB77" s="355" t="s">
        <v>19</v>
      </c>
      <c r="AC77" s="372"/>
      <c r="AD77" s="373"/>
      <c r="AE77" s="363">
        <f t="shared" ref="AE77:AF77" si="50">$AM$42*(AH54+1)+$AC$4</f>
        <v>119465.3688</v>
      </c>
      <c r="AF77" s="363">
        <f t="shared" si="50"/>
        <v>119514.1188</v>
      </c>
      <c r="AG77" s="374"/>
      <c r="AH77" s="373"/>
      <c r="AI77" s="374"/>
      <c r="AJ77" s="373"/>
      <c r="AK77" s="374"/>
      <c r="AL77" s="373"/>
      <c r="AM77" s="374"/>
      <c r="AN77" s="373"/>
      <c r="AO77" s="375"/>
      <c r="AP77" s="376"/>
      <c r="AQ77" s="377"/>
      <c r="AR77" s="377"/>
    </row>
    <row r="78" ht="15.75" customHeight="1">
      <c r="B78" s="335" t="s">
        <v>19</v>
      </c>
      <c r="C78" s="332">
        <f>(AA52+AD11)*$AH$52</f>
        <v>110951.9007</v>
      </c>
      <c r="D78" s="333">
        <f>(AA52*AG52+AD11)*$AH$52</f>
        <v>110994.2157</v>
      </c>
      <c r="E78" s="332">
        <f>(AA52+AD4)*$AH$52</f>
        <v>110718.9354</v>
      </c>
      <c r="F78" s="333">
        <f>(AA52*AG52+AD4)*AH$52</f>
        <v>110761.2504</v>
      </c>
      <c r="G78" s="332">
        <f>(AA52+AD5)*$AH$52</f>
        <v>94910.58038</v>
      </c>
      <c r="H78" s="333">
        <f>(AA52*AG52+AD5)*AH$52</f>
        <v>94952.89538</v>
      </c>
      <c r="I78" s="332">
        <f>(AA52+AD6)*$AH$52</f>
        <v>69617.21228</v>
      </c>
      <c r="J78" s="333">
        <f>(AA52*AG52+AD6)*AH$52</f>
        <v>69659.52728</v>
      </c>
      <c r="K78" s="332">
        <f>(AA52+AD7)*$AH$52</f>
        <v>47485.51519</v>
      </c>
      <c r="L78" s="333">
        <f>(AA52*AG52+AD7)*AH$52</f>
        <v>47527.83019</v>
      </c>
      <c r="M78" s="332">
        <f>(AA52+AD8)*$AH$52</f>
        <v>36419.66664</v>
      </c>
      <c r="N78" s="333">
        <f>(AA52*AG52+AD8)*$AH52</f>
        <v>36461.98164</v>
      </c>
      <c r="O78" s="332">
        <f>(AA52+AD9)*AH$52</f>
        <v>28515.48911</v>
      </c>
      <c r="P78" s="333">
        <f>(AA52*AG52+AD9)*AH52</f>
        <v>28557.80411</v>
      </c>
      <c r="Q78" s="332">
        <f>(AA52+AD10)*$AH$52</f>
        <v>28515.48911</v>
      </c>
      <c r="R78" s="333">
        <f>(AA52*AG52+AD10)*$AH52</f>
        <v>28557.80411</v>
      </c>
      <c r="S78" s="332">
        <f>(AA52+AD12)*AH$52</f>
        <v>256066.2</v>
      </c>
      <c r="T78" s="330"/>
      <c r="U78" s="330"/>
      <c r="W78" s="263"/>
      <c r="X78" s="263"/>
      <c r="Y78" s="26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ht="15.75" customHeight="1">
      <c r="B79" s="342" t="s">
        <v>43</v>
      </c>
      <c r="C79" s="332">
        <f>(AA53+AD11)*$AH$53</f>
        <v>107372.8071</v>
      </c>
      <c r="D79" s="333">
        <f>(AA53*AG53+AD11)*$AH$53</f>
        <v>107413.7571</v>
      </c>
      <c r="E79" s="332">
        <f>(AA53+AD4)*$AH$53</f>
        <v>107147.3569</v>
      </c>
      <c r="F79" s="333">
        <f>(AA53*AG53+AD4)*AH$53</f>
        <v>107188.3069</v>
      </c>
      <c r="G79" s="332">
        <f>(AA52+AD5)*$AH$53</f>
        <v>91848.94875</v>
      </c>
      <c r="H79" s="333">
        <f>(AA53*AG53+AD5)*AH$53</f>
        <v>91889.89875</v>
      </c>
      <c r="I79" s="332">
        <f>(AA53+AD6)*$AH$53</f>
        <v>67371.49575</v>
      </c>
      <c r="J79" s="333">
        <f>(AA53*AG53+AD6)*AH$53</f>
        <v>67412.44575</v>
      </c>
      <c r="K79" s="332">
        <f>(AA53+AD7)*$AH$53</f>
        <v>45953.72438</v>
      </c>
      <c r="L79" s="333">
        <f>(AA53*AG53+AD7)*AH$53</f>
        <v>45994.67438</v>
      </c>
      <c r="M79" s="332">
        <f>(AA53+AD8)*$AH$53</f>
        <v>35244.83869</v>
      </c>
      <c r="N79" s="333">
        <f>(AA53*AG53+AD8)*$AH53</f>
        <v>35285.78869</v>
      </c>
      <c r="O79" s="332">
        <f>(AA53+AD9)*AH$53</f>
        <v>27595.63463</v>
      </c>
      <c r="P79" s="333">
        <f>(AA53*AG53+AD9)*AH53</f>
        <v>27636.58463</v>
      </c>
      <c r="Q79" s="332">
        <f>(AA53+AD10)*$AH$53</f>
        <v>27595.63463</v>
      </c>
      <c r="R79" s="333">
        <f>(AA53*AG53+AD10)*$AH53</f>
        <v>27636.58463</v>
      </c>
      <c r="S79" s="332">
        <f>(AA53+AD12)*AH$53</f>
        <v>247806</v>
      </c>
      <c r="T79" s="330"/>
      <c r="U79" s="330"/>
      <c r="W79" s="263"/>
      <c r="X79" s="263"/>
      <c r="Y79" s="26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ht="15.75" customHeight="1">
      <c r="M80" s="3"/>
      <c r="N80" s="3"/>
      <c r="Q80" s="3"/>
      <c r="R80" s="3"/>
      <c r="T80" s="330"/>
      <c r="U80" s="330"/>
      <c r="W80" s="330"/>
      <c r="X80" s="330"/>
      <c r="Y80" s="330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ht="15.75" customHeight="1">
      <c r="A81" s="3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330"/>
      <c r="U81" s="330"/>
      <c r="V81" s="330"/>
      <c r="W81" s="330"/>
      <c r="X81" s="330"/>
      <c r="Y81" s="330"/>
      <c r="Z81" s="3"/>
      <c r="AA81" s="3"/>
      <c r="AB81" s="3"/>
      <c r="AQ81" s="3"/>
    </row>
    <row r="82" ht="15.75" customHeight="1">
      <c r="A82" s="3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330"/>
      <c r="U82" s="330"/>
      <c r="V82" s="330"/>
      <c r="W82" s="330"/>
      <c r="X82" s="330"/>
      <c r="Y82" s="330"/>
      <c r="Z82" s="3"/>
      <c r="AA82" s="3"/>
      <c r="AB82" s="3"/>
      <c r="AQ82" s="3"/>
    </row>
    <row r="83" ht="15.75" customHeight="1">
      <c r="A83" s="3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330"/>
      <c r="U83" s="330"/>
      <c r="X83" s="3"/>
      <c r="Y83" s="3"/>
      <c r="AQ83" s="3"/>
    </row>
    <row r="84" ht="15.75" customHeight="1">
      <c r="A84" s="3"/>
      <c r="B84" s="135" t="s">
        <v>305</v>
      </c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330"/>
      <c r="U84" s="330"/>
      <c r="X84" s="3"/>
      <c r="Y84" s="3"/>
      <c r="AQ84" s="3"/>
    </row>
    <row r="85" ht="15.75" customHeight="1">
      <c r="A85" s="3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330"/>
      <c r="U85" s="330"/>
      <c r="X85" s="3"/>
      <c r="Y85" s="3"/>
      <c r="AQ85" s="3"/>
    </row>
    <row r="86" ht="15.75" customHeight="1">
      <c r="A86" s="3"/>
      <c r="B86" s="135" t="s">
        <v>306</v>
      </c>
      <c r="C86" s="135" t="s">
        <v>307</v>
      </c>
      <c r="D86" s="135" t="s">
        <v>308</v>
      </c>
      <c r="E86" s="135" t="s">
        <v>309</v>
      </c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330"/>
      <c r="U86" s="330"/>
      <c r="W86" s="3"/>
      <c r="X86" s="3"/>
      <c r="Y86" s="3"/>
      <c r="Z86" s="3"/>
      <c r="AQ86" s="3"/>
    </row>
    <row r="87" ht="15.75" customHeight="1">
      <c r="B87" s="378">
        <v>242.76850000000002</v>
      </c>
      <c r="C87" s="378">
        <v>228.48800000000003</v>
      </c>
      <c r="D87" s="378">
        <v>219.91970000000006</v>
      </c>
      <c r="E87" s="378">
        <v>82.82690000000001</v>
      </c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330"/>
      <c r="U87" s="330"/>
      <c r="V87" s="3"/>
      <c r="W87" s="3"/>
      <c r="X87" s="3"/>
      <c r="Y87" s="3"/>
      <c r="Z87" s="3"/>
      <c r="AQ87" s="3"/>
    </row>
    <row r="88" ht="15.75" customHeight="1">
      <c r="B88" s="378">
        <v>211.3514</v>
      </c>
      <c r="C88" s="378">
        <v>202.7831</v>
      </c>
      <c r="D88" s="378">
        <v>179.93430000000004</v>
      </c>
      <c r="E88" s="378">
        <v>62.83420000000001</v>
      </c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330"/>
      <c r="U88" s="330"/>
      <c r="V88" s="3"/>
      <c r="W88" s="3"/>
      <c r="X88" s="3"/>
      <c r="Y88" s="3"/>
      <c r="Z88" s="3"/>
      <c r="AQ88" s="3"/>
    </row>
    <row r="89" ht="15.75" customHeight="1">
      <c r="B89" s="378">
        <v>188.50260000000003</v>
      </c>
      <c r="C89" s="378">
        <v>165.65380000000002</v>
      </c>
      <c r="D89" s="378">
        <v>151.37330000000003</v>
      </c>
      <c r="E89" s="378">
        <v>48.553700000000006</v>
      </c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330"/>
      <c r="U89" s="330"/>
      <c r="V89" s="3"/>
      <c r="W89" s="3"/>
      <c r="X89" s="3"/>
      <c r="Y89" s="3"/>
      <c r="Z89" s="3"/>
      <c r="AQ89" s="3"/>
    </row>
    <row r="90" ht="15.75" customHeight="1">
      <c r="B90" s="378">
        <v>151.37330000000003</v>
      </c>
      <c r="C90" s="378">
        <v>137.0928</v>
      </c>
      <c r="D90" s="378">
        <v>122.81230000000001</v>
      </c>
      <c r="E90" s="378">
        <v>42.84150000000001</v>
      </c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330"/>
      <c r="U90" s="330"/>
      <c r="V90" s="3"/>
      <c r="W90" s="3"/>
      <c r="X90" s="3"/>
      <c r="Y90" s="3"/>
      <c r="Z90" s="3"/>
      <c r="AQ90" s="3"/>
    </row>
    <row r="91" ht="15.75" customHeight="1">
      <c r="B91" s="378">
        <v>139.9489</v>
      </c>
      <c r="C91" s="378">
        <v>134.2367</v>
      </c>
      <c r="D91" s="378">
        <v>108.5318</v>
      </c>
      <c r="E91" s="378">
        <v>37.12930000000001</v>
      </c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330"/>
      <c r="U91" s="330"/>
      <c r="V91" s="3"/>
      <c r="W91" s="3"/>
      <c r="X91" s="3"/>
      <c r="Y91" s="3"/>
      <c r="Z91" s="3"/>
      <c r="AQ91" s="3"/>
    </row>
    <row r="92" ht="15.75" customHeight="1">
      <c r="B92" s="378">
        <v>131.38060000000002</v>
      </c>
      <c r="C92" s="378">
        <v>122.81230000000001</v>
      </c>
      <c r="D92" s="378">
        <v>94.25130000000001</v>
      </c>
      <c r="E92" s="378">
        <v>31.417100000000005</v>
      </c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330"/>
      <c r="U92" s="330"/>
      <c r="V92" s="3"/>
      <c r="X92" s="3"/>
      <c r="Y92" s="3"/>
      <c r="AQ92" s="3"/>
    </row>
    <row r="93" ht="15.75" customHeight="1"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330"/>
      <c r="U93" s="330"/>
      <c r="V93" s="3"/>
      <c r="X93" s="3"/>
      <c r="Y93" s="3"/>
      <c r="AQ93" s="3"/>
    </row>
    <row r="94" ht="15.75" customHeight="1"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330"/>
      <c r="U94" s="330"/>
      <c r="V94" s="3"/>
      <c r="X94" s="3"/>
      <c r="Y94" s="3"/>
      <c r="AQ94" s="3"/>
    </row>
    <row r="95" ht="15.75" customHeight="1"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330"/>
      <c r="U95" s="330"/>
      <c r="V95" s="3"/>
      <c r="X95" s="3"/>
      <c r="Y95" s="3"/>
      <c r="AQ95" s="3"/>
    </row>
    <row r="96" ht="15.75" customHeight="1"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330"/>
      <c r="U96" s="330"/>
      <c r="V96" s="3"/>
      <c r="X96" s="3"/>
      <c r="Y96" s="3"/>
      <c r="AQ96" s="3"/>
    </row>
    <row r="97" ht="15.75" customHeight="1"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330"/>
      <c r="U97" s="330"/>
      <c r="V97" s="3"/>
      <c r="X97" s="3"/>
      <c r="Y97" s="3"/>
      <c r="AQ97" s="3"/>
    </row>
    <row r="98" ht="15.75" customHeight="1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330"/>
      <c r="U98" s="330"/>
      <c r="V98" s="3"/>
      <c r="W98" s="3"/>
      <c r="X98" s="3"/>
      <c r="Y98" s="3"/>
      <c r="Z98" s="3"/>
      <c r="AQ98" s="3"/>
    </row>
    <row r="99" ht="15.75" customHeight="1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330"/>
      <c r="U99" s="330"/>
      <c r="V99" s="3"/>
      <c r="W99" s="3"/>
      <c r="X99" s="3"/>
      <c r="Y99" s="3"/>
      <c r="Z99" s="3"/>
      <c r="AQ99" s="3"/>
    </row>
    <row r="100" ht="15.75" customHeight="1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330"/>
      <c r="U100" s="330"/>
      <c r="V100" s="3"/>
      <c r="W100" s="3"/>
      <c r="X100" s="3"/>
      <c r="Y100" s="3"/>
      <c r="Z100" s="3"/>
      <c r="AQ100" s="3"/>
    </row>
    <row r="101" ht="15.75" customHeight="1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330"/>
      <c r="U101" s="330"/>
      <c r="V101" s="3"/>
      <c r="W101" s="3"/>
      <c r="X101" s="3"/>
      <c r="Y101" s="3"/>
      <c r="Z101" s="3"/>
      <c r="AQ101" s="3"/>
    </row>
    <row r="102" ht="15.75" customHeight="1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330"/>
      <c r="U102" s="330"/>
      <c r="V102" s="3"/>
      <c r="W102" s="3"/>
      <c r="X102" s="3"/>
      <c r="Y102" s="3"/>
      <c r="Z102" s="3"/>
      <c r="AQ102" s="3"/>
    </row>
    <row r="103" ht="15.75" customHeight="1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330"/>
      <c r="U103" s="330"/>
      <c r="V103" s="3"/>
      <c r="W103" s="3"/>
      <c r="X103" s="3"/>
      <c r="Y103" s="3"/>
      <c r="Z103" s="3"/>
      <c r="AQ103" s="3"/>
    </row>
    <row r="104" ht="15.75" customHeight="1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330"/>
      <c r="U104" s="330"/>
      <c r="V104" s="3"/>
      <c r="W104" s="3"/>
      <c r="X104" s="3"/>
      <c r="Y104" s="3"/>
      <c r="Z104" s="3"/>
      <c r="AQ104" s="3"/>
    </row>
    <row r="105" ht="15.75" customHeight="1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330"/>
      <c r="U105" s="330"/>
      <c r="V105" s="3"/>
      <c r="W105" s="3"/>
      <c r="X105" s="3"/>
      <c r="Y105" s="3"/>
      <c r="Z105" s="3"/>
      <c r="AQ105" s="3"/>
    </row>
    <row r="106" ht="15.75" customHeight="1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330"/>
      <c r="U106" s="330"/>
      <c r="V106" s="3"/>
      <c r="W106" s="3"/>
      <c r="X106" s="3"/>
      <c r="Y106" s="3"/>
      <c r="Z106" s="3"/>
      <c r="AQ106" s="3"/>
    </row>
    <row r="107" ht="15.75" customHeight="1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330"/>
      <c r="U107" s="330"/>
      <c r="V107" s="3"/>
      <c r="W107" s="3"/>
      <c r="X107" s="3"/>
      <c r="Y107" s="3"/>
      <c r="Z107" s="3"/>
      <c r="AQ107" s="3"/>
    </row>
    <row r="108" ht="15.75" customHeight="1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330"/>
      <c r="U108" s="330"/>
      <c r="V108" s="3"/>
      <c r="W108" s="3"/>
      <c r="X108" s="3"/>
      <c r="Y108" s="3"/>
      <c r="Z108" s="3"/>
      <c r="AQ108" s="3"/>
    </row>
    <row r="109" ht="15.75" customHeight="1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330"/>
      <c r="U109" s="330"/>
      <c r="V109" s="3"/>
      <c r="W109" s="3"/>
      <c r="X109" s="3"/>
      <c r="Y109" s="3"/>
      <c r="Z109" s="3"/>
      <c r="AQ109" s="3"/>
    </row>
    <row r="110" ht="15.75" customHeight="1"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330"/>
      <c r="U110" s="330"/>
      <c r="V110" s="3"/>
      <c r="W110" s="3"/>
      <c r="X110" s="3"/>
      <c r="Y110" s="3"/>
      <c r="Z110" s="3"/>
      <c r="AQ110" s="3"/>
    </row>
    <row r="111" ht="15.75" customHeight="1"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330"/>
      <c r="U111" s="330"/>
      <c r="V111" s="3"/>
      <c r="W111" s="3"/>
      <c r="X111" s="3"/>
      <c r="Y111" s="3"/>
      <c r="Z111" s="3"/>
      <c r="AQ111" s="3"/>
    </row>
    <row r="112" ht="15.75" customHeight="1"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330"/>
      <c r="U112" s="330"/>
      <c r="V112" s="3"/>
      <c r="W112" s="3"/>
      <c r="X112" s="3"/>
      <c r="Y112" s="3"/>
      <c r="Z112" s="3"/>
      <c r="AQ112" s="3"/>
    </row>
    <row r="113" ht="15.75" customHeight="1"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330"/>
      <c r="U113" s="330"/>
      <c r="V113" s="3"/>
      <c r="W113" s="3"/>
      <c r="X113" s="3"/>
      <c r="Y113" s="3"/>
      <c r="Z113" s="3"/>
      <c r="AQ113" s="3"/>
    </row>
    <row r="114" ht="15.75" customHeight="1"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330"/>
      <c r="U114" s="330"/>
      <c r="V114" s="3"/>
      <c r="W114" s="3"/>
      <c r="X114" s="3"/>
      <c r="Y114" s="3"/>
      <c r="Z114" s="3"/>
      <c r="AQ114" s="3"/>
    </row>
    <row r="115" ht="15.75" customHeight="1"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330"/>
      <c r="U115" s="330"/>
      <c r="V115" s="3"/>
      <c r="W115" s="3"/>
      <c r="X115" s="3"/>
      <c r="Y115" s="3"/>
      <c r="Z115" s="3"/>
      <c r="AQ115" s="3"/>
    </row>
    <row r="116" ht="15.75" customHeight="1"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330"/>
      <c r="U116" s="330"/>
      <c r="V116" s="3"/>
      <c r="W116" s="3"/>
      <c r="X116" s="3"/>
      <c r="Y116" s="3"/>
      <c r="Z116" s="3"/>
      <c r="AQ116" s="3"/>
    </row>
    <row r="117" ht="15.75" customHeight="1"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330"/>
      <c r="U117" s="330"/>
      <c r="V117" s="3"/>
      <c r="W117" s="3"/>
      <c r="X117" s="3"/>
      <c r="Y117" s="3"/>
      <c r="Z117" s="3"/>
      <c r="AQ117" s="3"/>
    </row>
    <row r="118" ht="15.75" customHeight="1"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330"/>
      <c r="U118" s="330"/>
      <c r="V118" s="3"/>
      <c r="W118" s="3"/>
      <c r="X118" s="3"/>
      <c r="Y118" s="3"/>
      <c r="Z118" s="3"/>
      <c r="AQ118" s="3"/>
    </row>
    <row r="119" ht="15.75" customHeight="1"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330"/>
      <c r="U119" s="330"/>
      <c r="V119" s="3"/>
      <c r="W119" s="3"/>
      <c r="X119" s="3"/>
      <c r="Y119" s="3"/>
      <c r="Z119" s="3"/>
      <c r="AQ119" s="3"/>
    </row>
    <row r="120" ht="15.75" customHeight="1"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330"/>
      <c r="U120" s="330"/>
      <c r="V120" s="3"/>
      <c r="W120" s="3"/>
      <c r="X120" s="3"/>
      <c r="Y120" s="3"/>
      <c r="Z120" s="3"/>
      <c r="AQ120" s="3"/>
    </row>
    <row r="121" ht="15.75" customHeight="1"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330"/>
      <c r="U121" s="330"/>
      <c r="V121" s="3"/>
      <c r="W121" s="3"/>
      <c r="X121" s="3"/>
      <c r="Y121" s="3"/>
      <c r="Z121" s="3"/>
      <c r="AQ121" s="3"/>
    </row>
    <row r="122" ht="15.75" customHeight="1"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330"/>
      <c r="U122" s="330"/>
      <c r="V122" s="3"/>
      <c r="W122" s="3"/>
      <c r="X122" s="3"/>
      <c r="Y122" s="3"/>
      <c r="Z122" s="3"/>
      <c r="AQ122" s="3"/>
    </row>
    <row r="123" ht="15.75" customHeight="1"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330"/>
      <c r="U123" s="330"/>
      <c r="V123" s="3"/>
      <c r="W123" s="3"/>
      <c r="X123" s="3"/>
      <c r="Y123" s="3"/>
      <c r="Z123" s="3"/>
      <c r="AQ123" s="3"/>
    </row>
    <row r="124" ht="15.75" customHeight="1"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330"/>
      <c r="U124" s="330"/>
      <c r="V124" s="3"/>
      <c r="W124" s="3"/>
      <c r="X124" s="3"/>
      <c r="Y124" s="3"/>
      <c r="Z124" s="3"/>
      <c r="AQ124" s="3"/>
    </row>
    <row r="125" ht="15.75" customHeight="1"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330"/>
      <c r="U125" s="330"/>
      <c r="V125" s="3"/>
      <c r="W125" s="3"/>
      <c r="X125" s="3"/>
      <c r="Y125" s="3"/>
      <c r="Z125" s="3"/>
      <c r="AQ125" s="3"/>
    </row>
    <row r="126" ht="15.75" customHeight="1"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330"/>
      <c r="U126" s="330"/>
      <c r="V126" s="3"/>
      <c r="W126" s="3"/>
      <c r="X126" s="3"/>
      <c r="Y126" s="3"/>
      <c r="Z126" s="3"/>
      <c r="AQ126" s="3"/>
    </row>
    <row r="127" ht="15.75" customHeight="1"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330"/>
      <c r="U127" s="330"/>
      <c r="V127" s="3"/>
      <c r="W127" s="3"/>
      <c r="X127" s="3"/>
      <c r="Y127" s="3"/>
      <c r="Z127" s="3"/>
      <c r="AQ127" s="3"/>
    </row>
    <row r="128" ht="15.75" customHeight="1"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330"/>
      <c r="U128" s="330"/>
      <c r="V128" s="3"/>
      <c r="W128" s="3"/>
      <c r="X128" s="3"/>
      <c r="Y128" s="3"/>
      <c r="Z128" s="3"/>
      <c r="AQ128" s="3"/>
    </row>
    <row r="129" ht="15.75" customHeight="1"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330"/>
      <c r="U129" s="330"/>
      <c r="V129" s="3"/>
      <c r="W129" s="3"/>
      <c r="X129" s="3"/>
      <c r="Y129" s="3"/>
      <c r="Z129" s="3"/>
      <c r="AQ129" s="3"/>
    </row>
    <row r="130" ht="15.75" customHeight="1"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330"/>
      <c r="U130" s="330"/>
      <c r="V130" s="3"/>
      <c r="W130" s="3"/>
      <c r="X130" s="3"/>
      <c r="Y130" s="3"/>
      <c r="Z130" s="3"/>
      <c r="AQ130" s="3"/>
    </row>
    <row r="131" ht="15.75" customHeight="1"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330"/>
      <c r="U131" s="330"/>
      <c r="V131" s="3"/>
      <c r="W131" s="3"/>
      <c r="X131" s="3"/>
      <c r="Y131" s="3"/>
      <c r="Z131" s="3"/>
      <c r="AQ131" s="3"/>
    </row>
    <row r="132" ht="15.75" customHeight="1"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330"/>
      <c r="U132" s="330"/>
      <c r="V132" s="3"/>
      <c r="W132" s="3"/>
      <c r="X132" s="3"/>
      <c r="Y132" s="3"/>
      <c r="Z132" s="3"/>
      <c r="AQ132" s="3"/>
    </row>
    <row r="133" ht="15.75" customHeight="1"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330"/>
      <c r="U133" s="330"/>
      <c r="V133" s="3"/>
      <c r="W133" s="3"/>
      <c r="X133" s="3"/>
      <c r="Y133" s="3"/>
      <c r="Z133" s="3"/>
      <c r="AQ133" s="3"/>
    </row>
    <row r="134" ht="15.75" customHeight="1"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330"/>
      <c r="U134" s="330"/>
      <c r="V134" s="3"/>
      <c r="W134" s="3"/>
      <c r="X134" s="3"/>
      <c r="Y134" s="3"/>
      <c r="Z134" s="3"/>
      <c r="AQ134" s="3"/>
    </row>
    <row r="135" ht="15.75" customHeight="1"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330"/>
      <c r="U135" s="330"/>
      <c r="V135" s="3"/>
      <c r="W135" s="3"/>
      <c r="X135" s="3"/>
      <c r="Y135" s="3"/>
      <c r="Z135" s="3"/>
      <c r="AQ135" s="3"/>
    </row>
    <row r="136" ht="15.75" customHeight="1"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330"/>
      <c r="U136" s="330"/>
      <c r="V136" s="3"/>
      <c r="W136" s="3"/>
      <c r="X136" s="3"/>
      <c r="Y136" s="3"/>
      <c r="Z136" s="3"/>
      <c r="AQ136" s="3"/>
    </row>
    <row r="137" ht="15.75" customHeight="1"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330"/>
      <c r="U137" s="330"/>
      <c r="V137" s="3"/>
      <c r="W137" s="3"/>
      <c r="X137" s="3"/>
      <c r="Y137" s="3"/>
      <c r="Z137" s="3"/>
      <c r="AQ137" s="3"/>
    </row>
    <row r="138" ht="15.75" customHeight="1"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330"/>
      <c r="U138" s="330"/>
      <c r="V138" s="3"/>
      <c r="W138" s="3"/>
      <c r="X138" s="3"/>
      <c r="Y138" s="3"/>
      <c r="Z138" s="3"/>
      <c r="AQ138" s="3"/>
    </row>
    <row r="139" ht="15.75" customHeight="1"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330"/>
      <c r="U139" s="330"/>
      <c r="V139" s="3"/>
      <c r="W139" s="3"/>
      <c r="X139" s="3"/>
      <c r="Y139" s="3"/>
      <c r="Z139" s="3"/>
      <c r="AQ139" s="3"/>
    </row>
    <row r="140" ht="15.75" customHeight="1"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330"/>
      <c r="U140" s="330"/>
      <c r="V140" s="3"/>
      <c r="W140" s="3"/>
      <c r="X140" s="3"/>
      <c r="Y140" s="3"/>
      <c r="Z140" s="3"/>
      <c r="AQ140" s="3"/>
    </row>
    <row r="141" ht="15.75" customHeight="1"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330"/>
      <c r="U141" s="330"/>
      <c r="V141" s="3"/>
      <c r="W141" s="3"/>
      <c r="X141" s="3"/>
      <c r="Y141" s="3"/>
      <c r="Z141" s="3"/>
      <c r="AQ141" s="3"/>
    </row>
    <row r="142" ht="15.75" customHeight="1"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330"/>
      <c r="U142" s="330"/>
      <c r="V142" s="3"/>
      <c r="W142" s="3"/>
      <c r="X142" s="3"/>
      <c r="Y142" s="3"/>
      <c r="Z142" s="3"/>
      <c r="AQ142" s="3"/>
    </row>
    <row r="143" ht="15.75" customHeight="1"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330"/>
      <c r="U143" s="330"/>
      <c r="V143" s="3"/>
      <c r="W143" s="3"/>
      <c r="X143" s="3"/>
      <c r="Y143" s="3"/>
      <c r="Z143" s="3"/>
      <c r="AQ143" s="3"/>
    </row>
    <row r="144" ht="15.75" customHeight="1"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330"/>
      <c r="U144" s="330"/>
      <c r="V144" s="3"/>
      <c r="W144" s="3"/>
      <c r="X144" s="3"/>
      <c r="Y144" s="3"/>
      <c r="Z144" s="3"/>
      <c r="AQ144" s="3"/>
    </row>
    <row r="145" ht="15.75" customHeight="1"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330"/>
      <c r="U145" s="330"/>
      <c r="V145" s="3"/>
      <c r="W145" s="3"/>
      <c r="X145" s="3"/>
      <c r="Y145" s="3"/>
      <c r="Z145" s="3"/>
      <c r="AQ145" s="3"/>
    </row>
    <row r="146" ht="15.75" customHeight="1"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330"/>
      <c r="U146" s="330"/>
      <c r="V146" s="3"/>
      <c r="W146" s="3"/>
      <c r="X146" s="3"/>
      <c r="Y146" s="3"/>
      <c r="Z146" s="3"/>
      <c r="AQ146" s="3"/>
    </row>
    <row r="147" ht="15.75" customHeight="1"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330"/>
      <c r="U147" s="330"/>
      <c r="V147" s="3"/>
      <c r="W147" s="3"/>
      <c r="X147" s="3"/>
      <c r="Y147" s="3"/>
      <c r="Z147" s="3"/>
      <c r="AQ147" s="3"/>
    </row>
    <row r="148" ht="15.75" customHeight="1"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330"/>
      <c r="U148" s="330"/>
      <c r="V148" s="3"/>
      <c r="W148" s="3"/>
      <c r="X148" s="3"/>
      <c r="Y148" s="3"/>
      <c r="Z148" s="3"/>
      <c r="AQ148" s="3"/>
    </row>
    <row r="149" ht="15.75" customHeight="1"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330"/>
      <c r="U149" s="330"/>
      <c r="V149" s="3"/>
      <c r="W149" s="3"/>
      <c r="X149" s="3"/>
      <c r="Y149" s="3"/>
      <c r="Z149" s="3"/>
      <c r="AQ149" s="3"/>
    </row>
    <row r="150" ht="15.75" customHeight="1"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330"/>
      <c r="U150" s="330"/>
      <c r="V150" s="3"/>
      <c r="W150" s="3"/>
      <c r="X150" s="3"/>
      <c r="Y150" s="3"/>
      <c r="Z150" s="3"/>
      <c r="AQ150" s="3"/>
    </row>
    <row r="151" ht="15.75" customHeight="1"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330"/>
      <c r="U151" s="330"/>
      <c r="V151" s="3"/>
      <c r="W151" s="3"/>
      <c r="X151" s="3"/>
      <c r="Y151" s="3"/>
      <c r="Z151" s="3"/>
      <c r="AQ151" s="3"/>
    </row>
    <row r="152" ht="15.75" customHeight="1"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330"/>
      <c r="U152" s="330"/>
      <c r="V152" s="3"/>
      <c r="W152" s="3"/>
      <c r="X152" s="3"/>
      <c r="Y152" s="3"/>
      <c r="Z152" s="3"/>
      <c r="AQ152" s="3"/>
    </row>
    <row r="153" ht="15.75" customHeight="1"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330"/>
      <c r="U153" s="330"/>
      <c r="V153" s="3"/>
      <c r="W153" s="3"/>
      <c r="X153" s="3"/>
      <c r="Y153" s="3"/>
      <c r="Z153" s="3"/>
      <c r="AQ153" s="3"/>
    </row>
    <row r="154" ht="15.75" customHeight="1"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330"/>
      <c r="U154" s="330"/>
      <c r="V154" s="3"/>
      <c r="W154" s="3"/>
      <c r="X154" s="3"/>
      <c r="Y154" s="3"/>
      <c r="Z154" s="3"/>
      <c r="AQ154" s="3"/>
    </row>
    <row r="155" ht="15.75" customHeight="1"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330"/>
      <c r="U155" s="330"/>
      <c r="V155" s="3"/>
      <c r="W155" s="3"/>
      <c r="X155" s="3"/>
      <c r="Y155" s="3"/>
      <c r="Z155" s="3"/>
      <c r="AQ155" s="3"/>
    </row>
    <row r="156" ht="15.75" customHeight="1"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330"/>
      <c r="U156" s="330"/>
      <c r="V156" s="3"/>
      <c r="W156" s="3"/>
      <c r="X156" s="3"/>
      <c r="Y156" s="3"/>
      <c r="Z156" s="3"/>
      <c r="AQ156" s="3"/>
    </row>
    <row r="157" ht="15.75" customHeight="1"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330"/>
      <c r="U157" s="330"/>
      <c r="V157" s="3"/>
      <c r="W157" s="3"/>
      <c r="X157" s="3"/>
      <c r="Y157" s="3"/>
      <c r="Z157" s="3"/>
      <c r="AQ157" s="3"/>
    </row>
    <row r="158" ht="15.75" customHeight="1"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330"/>
      <c r="U158" s="330"/>
      <c r="V158" s="3"/>
      <c r="W158" s="3"/>
      <c r="X158" s="3"/>
      <c r="Y158" s="3"/>
      <c r="Z158" s="3"/>
      <c r="AQ158" s="3"/>
    </row>
    <row r="159" ht="15.75" customHeight="1"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330"/>
      <c r="U159" s="330"/>
      <c r="V159" s="3"/>
      <c r="W159" s="3"/>
      <c r="X159" s="3"/>
      <c r="Y159" s="3"/>
      <c r="Z159" s="3"/>
      <c r="AQ159" s="3"/>
    </row>
    <row r="160" ht="15.75" customHeight="1"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330"/>
      <c r="U160" s="330"/>
      <c r="V160" s="3"/>
      <c r="W160" s="3"/>
      <c r="X160" s="3"/>
      <c r="Y160" s="3"/>
      <c r="Z160" s="3"/>
      <c r="AQ160" s="3"/>
    </row>
    <row r="161" ht="15.75" customHeight="1"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330"/>
      <c r="U161" s="330"/>
      <c r="V161" s="3"/>
      <c r="W161" s="3"/>
      <c r="X161" s="3"/>
      <c r="Y161" s="3"/>
      <c r="Z161" s="3"/>
      <c r="AQ161" s="3"/>
    </row>
    <row r="162" ht="15.75" customHeight="1"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330"/>
      <c r="U162" s="330"/>
      <c r="V162" s="3"/>
      <c r="W162" s="3"/>
      <c r="X162" s="3"/>
      <c r="Y162" s="3"/>
      <c r="Z162" s="3"/>
      <c r="AQ162" s="3"/>
    </row>
    <row r="163" ht="15.75" customHeight="1"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330"/>
      <c r="U163" s="330"/>
      <c r="V163" s="3"/>
      <c r="W163" s="3"/>
      <c r="X163" s="3"/>
      <c r="Y163" s="3"/>
      <c r="Z163" s="3"/>
      <c r="AQ163" s="3"/>
    </row>
    <row r="164" ht="15.75" customHeight="1"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330"/>
      <c r="U164" s="330"/>
      <c r="V164" s="3"/>
      <c r="W164" s="3"/>
      <c r="X164" s="3"/>
      <c r="Y164" s="3"/>
      <c r="Z164" s="3"/>
      <c r="AQ164" s="3"/>
    </row>
    <row r="165" ht="15.75" customHeight="1"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330"/>
      <c r="U165" s="330"/>
      <c r="V165" s="3"/>
      <c r="W165" s="3"/>
      <c r="X165" s="3"/>
      <c r="Y165" s="3"/>
      <c r="Z165" s="3"/>
      <c r="AQ165" s="3"/>
    </row>
    <row r="166" ht="15.75" customHeight="1"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330"/>
      <c r="U166" s="330"/>
      <c r="V166" s="3"/>
      <c r="W166" s="3"/>
      <c r="X166" s="3"/>
      <c r="Y166" s="3"/>
      <c r="Z166" s="3"/>
      <c r="AQ166" s="3"/>
    </row>
    <row r="167" ht="15.75" customHeight="1"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330"/>
      <c r="U167" s="330"/>
      <c r="V167" s="3"/>
      <c r="W167" s="3"/>
      <c r="X167" s="3"/>
      <c r="Y167" s="3"/>
      <c r="Z167" s="3"/>
      <c r="AQ167" s="3"/>
    </row>
    <row r="168" ht="15.75" customHeight="1"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330"/>
      <c r="U168" s="330"/>
      <c r="V168" s="3"/>
      <c r="W168" s="3"/>
      <c r="X168" s="3"/>
      <c r="Y168" s="3"/>
      <c r="Z168" s="3"/>
      <c r="AQ168" s="3"/>
    </row>
    <row r="169" ht="15.75" customHeight="1"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330"/>
      <c r="U169" s="330"/>
      <c r="V169" s="3"/>
      <c r="W169" s="3"/>
      <c r="X169" s="3"/>
      <c r="Y169" s="3"/>
      <c r="Z169" s="3"/>
      <c r="AQ169" s="3"/>
    </row>
    <row r="170" ht="15.75" customHeight="1"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330"/>
      <c r="U170" s="330"/>
      <c r="V170" s="3"/>
      <c r="W170" s="3"/>
      <c r="X170" s="3"/>
      <c r="Y170" s="3"/>
      <c r="Z170" s="3"/>
      <c r="AQ170" s="3"/>
    </row>
    <row r="171" ht="15.75" customHeight="1"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330"/>
      <c r="U171" s="330"/>
      <c r="V171" s="3"/>
      <c r="W171" s="3"/>
      <c r="X171" s="3"/>
      <c r="Y171" s="3"/>
      <c r="Z171" s="3"/>
      <c r="AQ171" s="3"/>
    </row>
    <row r="172" ht="15.75" customHeight="1"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330"/>
      <c r="U172" s="330"/>
      <c r="V172" s="3"/>
      <c r="W172" s="3"/>
      <c r="X172" s="3"/>
      <c r="Y172" s="3"/>
      <c r="Z172" s="3"/>
      <c r="AQ172" s="3"/>
    </row>
    <row r="173" ht="15.75" customHeight="1"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330"/>
      <c r="U173" s="330"/>
      <c r="V173" s="3"/>
      <c r="W173" s="3"/>
      <c r="X173" s="3"/>
      <c r="Y173" s="3"/>
      <c r="Z173" s="3"/>
      <c r="AQ173" s="3"/>
    </row>
    <row r="174" ht="15.75" customHeight="1"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330"/>
      <c r="U174" s="330"/>
      <c r="V174" s="3"/>
      <c r="W174" s="3"/>
      <c r="X174" s="3"/>
      <c r="Y174" s="3"/>
      <c r="Z174" s="3"/>
      <c r="AQ174" s="3"/>
    </row>
    <row r="175" ht="15.75" customHeight="1"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330"/>
      <c r="U175" s="330"/>
      <c r="V175" s="3"/>
      <c r="W175" s="3"/>
      <c r="X175" s="3"/>
      <c r="Y175" s="3"/>
      <c r="Z175" s="3"/>
      <c r="AQ175" s="3"/>
    </row>
    <row r="176" ht="15.75" customHeight="1"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330"/>
      <c r="U176" s="330"/>
      <c r="V176" s="3"/>
      <c r="W176" s="3"/>
      <c r="X176" s="3"/>
      <c r="Y176" s="3"/>
      <c r="Z176" s="3"/>
      <c r="AQ176" s="3"/>
    </row>
    <row r="177" ht="15.75" customHeight="1"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330"/>
      <c r="U177" s="330"/>
      <c r="V177" s="3"/>
      <c r="W177" s="3"/>
      <c r="X177" s="3"/>
      <c r="Y177" s="3"/>
      <c r="Z177" s="3"/>
      <c r="AQ177" s="3"/>
    </row>
    <row r="178" ht="15.75" customHeight="1"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330"/>
      <c r="U178" s="330"/>
      <c r="V178" s="3"/>
      <c r="W178" s="3"/>
      <c r="X178" s="3"/>
      <c r="Y178" s="3"/>
      <c r="Z178" s="3"/>
      <c r="AQ178" s="3"/>
    </row>
    <row r="179" ht="15.75" customHeight="1"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330"/>
      <c r="U179" s="330"/>
      <c r="V179" s="3"/>
      <c r="W179" s="3"/>
      <c r="X179" s="3"/>
      <c r="Y179" s="3"/>
      <c r="Z179" s="3"/>
      <c r="AQ179" s="3"/>
    </row>
    <row r="180" ht="15.75" customHeight="1"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330"/>
      <c r="U180" s="330"/>
      <c r="V180" s="3"/>
      <c r="W180" s="3"/>
      <c r="X180" s="3"/>
      <c r="Y180" s="3"/>
      <c r="Z180" s="3"/>
      <c r="AQ180" s="3"/>
    </row>
    <row r="181" ht="15.75" customHeight="1"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330"/>
      <c r="U181" s="330"/>
      <c r="V181" s="3"/>
      <c r="W181" s="3"/>
      <c r="X181" s="3"/>
      <c r="Y181" s="3"/>
      <c r="Z181" s="3"/>
      <c r="AQ181" s="3"/>
    </row>
    <row r="182" ht="15.75" customHeight="1"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330"/>
      <c r="U182" s="330"/>
      <c r="V182" s="3"/>
      <c r="W182" s="3"/>
      <c r="X182" s="3"/>
      <c r="Y182" s="3"/>
      <c r="Z182" s="3"/>
      <c r="AQ182" s="3"/>
    </row>
    <row r="183" ht="15.75" customHeight="1"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330"/>
      <c r="U183" s="330"/>
      <c r="V183" s="3"/>
      <c r="W183" s="3"/>
      <c r="X183" s="3"/>
      <c r="Y183" s="3"/>
      <c r="Z183" s="3"/>
      <c r="AQ183" s="3"/>
    </row>
    <row r="184" ht="15.75" customHeight="1"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330"/>
      <c r="U184" s="330"/>
      <c r="V184" s="3"/>
      <c r="W184" s="3"/>
      <c r="X184" s="3"/>
      <c r="Y184" s="3"/>
      <c r="Z184" s="3"/>
      <c r="AQ184" s="3"/>
    </row>
    <row r="185" ht="15.75" customHeight="1"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330"/>
      <c r="U185" s="330"/>
      <c r="V185" s="3"/>
      <c r="W185" s="3"/>
      <c r="X185" s="3"/>
      <c r="Y185" s="3"/>
      <c r="Z185" s="3"/>
      <c r="AQ185" s="3"/>
    </row>
    <row r="186" ht="15.75" customHeight="1"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330"/>
      <c r="U186" s="330"/>
      <c r="V186" s="3"/>
      <c r="W186" s="3"/>
      <c r="X186" s="3"/>
      <c r="Y186" s="3"/>
      <c r="Z186" s="3"/>
      <c r="AQ186" s="3"/>
    </row>
    <row r="187" ht="15.75" customHeight="1"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330"/>
      <c r="U187" s="330"/>
      <c r="V187" s="3"/>
      <c r="W187" s="3"/>
      <c r="X187" s="3"/>
      <c r="Y187" s="3"/>
      <c r="Z187" s="3"/>
      <c r="AQ187" s="3"/>
    </row>
    <row r="188" ht="15.75" customHeight="1"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330"/>
      <c r="U188" s="330"/>
      <c r="V188" s="3"/>
      <c r="W188" s="3"/>
      <c r="X188" s="3"/>
      <c r="Y188" s="3"/>
      <c r="Z188" s="3"/>
      <c r="AQ188" s="3"/>
    </row>
    <row r="189" ht="15.75" customHeight="1"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330"/>
      <c r="U189" s="330"/>
      <c r="V189" s="3"/>
      <c r="W189" s="3"/>
      <c r="X189" s="3"/>
      <c r="Y189" s="3"/>
      <c r="Z189" s="3"/>
      <c r="AQ189" s="3"/>
    </row>
    <row r="190" ht="15.75" customHeight="1"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330"/>
      <c r="U190" s="330"/>
      <c r="V190" s="3"/>
      <c r="W190" s="3"/>
      <c r="X190" s="3"/>
      <c r="Y190" s="3"/>
      <c r="Z190" s="3"/>
      <c r="AQ190" s="3"/>
    </row>
    <row r="191" ht="15.75" customHeight="1"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330"/>
      <c r="U191" s="330"/>
      <c r="V191" s="3"/>
      <c r="W191" s="3"/>
      <c r="X191" s="3"/>
      <c r="Y191" s="3"/>
      <c r="Z191" s="3"/>
      <c r="AQ191" s="3"/>
    </row>
    <row r="192" ht="15.75" customHeight="1"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330"/>
      <c r="U192" s="330"/>
      <c r="V192" s="3"/>
      <c r="W192" s="3"/>
      <c r="X192" s="3"/>
      <c r="Y192" s="3"/>
      <c r="Z192" s="3"/>
      <c r="AQ192" s="3"/>
    </row>
    <row r="193" ht="15.75" customHeight="1"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330"/>
      <c r="U193" s="330"/>
      <c r="V193" s="3"/>
      <c r="W193" s="3"/>
      <c r="X193" s="3"/>
      <c r="Y193" s="3"/>
      <c r="Z193" s="3"/>
      <c r="AQ193" s="3"/>
    </row>
    <row r="194" ht="15.75" customHeight="1"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330"/>
      <c r="U194" s="330"/>
      <c r="V194" s="3"/>
      <c r="W194" s="3"/>
      <c r="X194" s="3"/>
      <c r="Y194" s="3"/>
      <c r="Z194" s="3"/>
      <c r="AQ194" s="3"/>
    </row>
    <row r="195" ht="15.75" customHeight="1"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330"/>
      <c r="U195" s="330"/>
      <c r="V195" s="3"/>
      <c r="W195" s="3"/>
      <c r="X195" s="3"/>
      <c r="Y195" s="3"/>
      <c r="Z195" s="3"/>
      <c r="AQ195" s="3"/>
    </row>
    <row r="196" ht="15.75" customHeight="1"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330"/>
      <c r="U196" s="330"/>
      <c r="V196" s="3"/>
      <c r="W196" s="3"/>
      <c r="X196" s="3"/>
      <c r="Y196" s="3"/>
      <c r="Z196" s="3"/>
      <c r="AQ196" s="3"/>
    </row>
    <row r="197" ht="15.75" customHeight="1"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330"/>
      <c r="U197" s="330"/>
      <c r="V197" s="3"/>
      <c r="W197" s="3"/>
      <c r="X197" s="3"/>
      <c r="Y197" s="3"/>
      <c r="Z197" s="3"/>
      <c r="AQ197" s="3"/>
    </row>
    <row r="198" ht="15.75" customHeight="1"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330"/>
      <c r="U198" s="330"/>
      <c r="V198" s="3"/>
      <c r="W198" s="3"/>
      <c r="X198" s="3"/>
      <c r="Y198" s="3"/>
      <c r="Z198" s="3"/>
      <c r="AQ198" s="3"/>
    </row>
    <row r="199" ht="15.75" customHeight="1"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330"/>
      <c r="U199" s="330"/>
      <c r="V199" s="3"/>
      <c r="W199" s="3"/>
      <c r="X199" s="3"/>
      <c r="Y199" s="3"/>
      <c r="Z199" s="3"/>
      <c r="AQ199" s="3"/>
    </row>
    <row r="200" ht="15.75" customHeight="1"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330"/>
      <c r="U200" s="330"/>
      <c r="V200" s="3"/>
      <c r="W200" s="3"/>
      <c r="X200" s="3"/>
      <c r="Y200" s="3"/>
      <c r="Z200" s="3"/>
      <c r="AQ200" s="3"/>
    </row>
    <row r="201" ht="15.75" customHeight="1"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330"/>
      <c r="U201" s="330"/>
      <c r="V201" s="3"/>
      <c r="W201" s="3"/>
      <c r="X201" s="3"/>
      <c r="Y201" s="3"/>
      <c r="Z201" s="3"/>
      <c r="AQ201" s="3"/>
    </row>
    <row r="202" ht="15.75" customHeight="1"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330"/>
      <c r="U202" s="330"/>
      <c r="V202" s="3"/>
      <c r="W202" s="3"/>
      <c r="X202" s="3"/>
      <c r="Y202" s="3"/>
      <c r="Z202" s="3"/>
      <c r="AQ202" s="3"/>
    </row>
    <row r="203" ht="15.75" customHeight="1"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330"/>
      <c r="U203" s="330"/>
      <c r="V203" s="3"/>
      <c r="W203" s="3"/>
      <c r="X203" s="3"/>
      <c r="Y203" s="3"/>
      <c r="Z203" s="3"/>
      <c r="AQ203" s="3"/>
    </row>
    <row r="204" ht="15.75" customHeight="1"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330"/>
      <c r="U204" s="330"/>
      <c r="V204" s="3"/>
      <c r="W204" s="3"/>
      <c r="X204" s="3"/>
      <c r="Y204" s="3"/>
      <c r="Z204" s="3"/>
      <c r="AQ204" s="3"/>
    </row>
    <row r="205" ht="15.75" customHeight="1"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330"/>
      <c r="U205" s="330"/>
      <c r="V205" s="3"/>
      <c r="W205" s="3"/>
      <c r="X205" s="3"/>
      <c r="Y205" s="3"/>
      <c r="Z205" s="3"/>
      <c r="AQ205" s="3"/>
    </row>
    <row r="206" ht="15.75" customHeight="1"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330"/>
      <c r="U206" s="330"/>
      <c r="V206" s="3"/>
      <c r="W206" s="3"/>
      <c r="X206" s="3"/>
      <c r="Y206" s="3"/>
      <c r="Z206" s="3"/>
      <c r="AQ206" s="3"/>
    </row>
    <row r="207" ht="15.75" customHeight="1"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330"/>
      <c r="U207" s="330"/>
      <c r="V207" s="3"/>
      <c r="W207" s="3"/>
      <c r="X207" s="3"/>
      <c r="Y207" s="3"/>
      <c r="Z207" s="3"/>
      <c r="AQ207" s="3"/>
    </row>
    <row r="208" ht="15.75" customHeight="1"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330"/>
      <c r="U208" s="330"/>
      <c r="V208" s="3"/>
      <c r="W208" s="3"/>
      <c r="X208" s="3"/>
      <c r="Y208" s="3"/>
      <c r="Z208" s="3"/>
      <c r="AQ208" s="3"/>
    </row>
    <row r="209" ht="15.75" customHeight="1"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330"/>
      <c r="U209" s="330"/>
      <c r="V209" s="3"/>
      <c r="W209" s="3"/>
      <c r="X209" s="3"/>
      <c r="Y209" s="3"/>
      <c r="Z209" s="3"/>
      <c r="AQ209" s="3"/>
    </row>
    <row r="210" ht="15.75" customHeight="1"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330"/>
      <c r="U210" s="330"/>
      <c r="V210" s="3"/>
      <c r="W210" s="3"/>
      <c r="X210" s="3"/>
      <c r="Y210" s="3"/>
      <c r="Z210" s="3"/>
      <c r="AQ210" s="3"/>
    </row>
    <row r="211" ht="15.75" customHeight="1"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330"/>
      <c r="U211" s="330"/>
      <c r="V211" s="3"/>
      <c r="W211" s="3"/>
      <c r="X211" s="3"/>
      <c r="Y211" s="3"/>
      <c r="Z211" s="3"/>
      <c r="AQ211" s="3"/>
    </row>
    <row r="212" ht="15.75" customHeight="1"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330"/>
      <c r="U212" s="330"/>
      <c r="V212" s="3"/>
      <c r="W212" s="3"/>
      <c r="X212" s="3"/>
      <c r="Y212" s="3"/>
      <c r="Z212" s="3"/>
      <c r="AQ212" s="3"/>
    </row>
    <row r="213" ht="15.75" customHeight="1"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330"/>
      <c r="U213" s="330"/>
      <c r="V213" s="3"/>
      <c r="W213" s="3"/>
      <c r="X213" s="3"/>
      <c r="Y213" s="3"/>
      <c r="Z213" s="3"/>
      <c r="AQ213" s="3"/>
    </row>
    <row r="214" ht="15.75" customHeight="1"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330"/>
      <c r="U214" s="330"/>
      <c r="V214" s="3"/>
      <c r="W214" s="3"/>
      <c r="X214" s="3"/>
      <c r="Y214" s="3"/>
      <c r="Z214" s="3"/>
      <c r="AQ214" s="3"/>
    </row>
    <row r="215" ht="15.75" customHeight="1"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330"/>
      <c r="U215" s="330"/>
      <c r="V215" s="3"/>
      <c r="W215" s="3"/>
      <c r="X215" s="3"/>
      <c r="Y215" s="3"/>
      <c r="Z215" s="3"/>
      <c r="AQ215" s="3"/>
    </row>
    <row r="216" ht="15.75" customHeight="1"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330"/>
      <c r="U216" s="330"/>
      <c r="V216" s="3"/>
      <c r="W216" s="3"/>
      <c r="X216" s="3"/>
      <c r="Y216" s="3"/>
      <c r="Z216" s="3"/>
      <c r="AQ216" s="3"/>
    </row>
    <row r="217" ht="15.75" customHeight="1"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330"/>
      <c r="U217" s="330"/>
      <c r="V217" s="3"/>
      <c r="W217" s="3"/>
      <c r="X217" s="3"/>
      <c r="Y217" s="3"/>
      <c r="Z217" s="3"/>
      <c r="AQ217" s="3"/>
    </row>
    <row r="218" ht="15.75" customHeight="1"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330"/>
      <c r="U218" s="330"/>
      <c r="V218" s="3"/>
      <c r="W218" s="3"/>
      <c r="X218" s="3"/>
      <c r="Y218" s="3"/>
      <c r="Z218" s="3"/>
      <c r="AQ218" s="3"/>
    </row>
    <row r="219" ht="15.75" customHeight="1"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330"/>
      <c r="U219" s="330"/>
      <c r="V219" s="3"/>
      <c r="W219" s="3"/>
      <c r="X219" s="3"/>
      <c r="Y219" s="3"/>
      <c r="Z219" s="3"/>
      <c r="AQ219" s="3"/>
    </row>
    <row r="220" ht="15.75" customHeight="1"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330"/>
      <c r="U220" s="330"/>
      <c r="V220" s="3"/>
      <c r="W220" s="3"/>
      <c r="X220" s="3"/>
      <c r="Y220" s="3"/>
      <c r="Z220" s="3"/>
      <c r="AQ220" s="3"/>
    </row>
    <row r="221" ht="15.75" customHeight="1"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330"/>
      <c r="U221" s="330"/>
      <c r="V221" s="3"/>
      <c r="W221" s="3"/>
      <c r="X221" s="3"/>
      <c r="Y221" s="3"/>
      <c r="Z221" s="3"/>
      <c r="AQ221" s="3"/>
    </row>
    <row r="222" ht="15.75" customHeight="1"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330"/>
      <c r="U222" s="330"/>
      <c r="V222" s="3"/>
      <c r="W222" s="3"/>
      <c r="X222" s="3"/>
      <c r="Y222" s="3"/>
      <c r="Z222" s="3"/>
      <c r="AQ222" s="3"/>
    </row>
    <row r="223" ht="15.75" customHeight="1"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330"/>
      <c r="U223" s="330"/>
      <c r="V223" s="3"/>
      <c r="W223" s="3"/>
      <c r="X223" s="3"/>
      <c r="Y223" s="3"/>
      <c r="Z223" s="3"/>
      <c r="AQ223" s="3"/>
    </row>
    <row r="224" ht="15.75" customHeight="1"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330"/>
      <c r="U224" s="330"/>
      <c r="V224" s="3"/>
      <c r="W224" s="3"/>
      <c r="X224" s="3"/>
      <c r="Y224" s="3"/>
      <c r="Z224" s="3"/>
      <c r="AQ224" s="3"/>
    </row>
    <row r="225" ht="15.75" customHeight="1"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330"/>
      <c r="U225" s="330"/>
      <c r="V225" s="3"/>
      <c r="W225" s="3"/>
      <c r="X225" s="3"/>
      <c r="Y225" s="3"/>
      <c r="Z225" s="3"/>
      <c r="AQ225" s="3"/>
    </row>
    <row r="226" ht="15.75" customHeight="1"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330"/>
      <c r="U226" s="330"/>
      <c r="V226" s="3"/>
      <c r="W226" s="3"/>
      <c r="X226" s="3"/>
      <c r="Y226" s="3"/>
      <c r="Z226" s="3"/>
      <c r="AQ226" s="3"/>
    </row>
    <row r="227" ht="15.75" customHeight="1"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330"/>
      <c r="U227" s="330"/>
      <c r="V227" s="3"/>
      <c r="W227" s="3"/>
      <c r="X227" s="3"/>
      <c r="Y227" s="3"/>
      <c r="Z227" s="3"/>
      <c r="AQ227" s="3"/>
    </row>
    <row r="228" ht="15.75" customHeight="1"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330"/>
      <c r="U228" s="330"/>
      <c r="V228" s="3"/>
      <c r="W228" s="3"/>
      <c r="X228" s="3"/>
      <c r="Y228" s="3"/>
      <c r="Z228" s="3"/>
      <c r="AQ228" s="3"/>
    </row>
    <row r="229" ht="15.75" customHeight="1"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330"/>
      <c r="U229" s="330"/>
      <c r="V229" s="3"/>
      <c r="W229" s="3"/>
      <c r="X229" s="3"/>
      <c r="Y229" s="3"/>
      <c r="Z229" s="3"/>
      <c r="AQ229" s="3"/>
    </row>
    <row r="230" ht="15.75" customHeight="1"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330"/>
      <c r="U230" s="330"/>
      <c r="V230" s="3"/>
      <c r="W230" s="3"/>
      <c r="X230" s="3"/>
      <c r="Y230" s="3"/>
      <c r="Z230" s="3"/>
      <c r="AQ230" s="3"/>
    </row>
    <row r="231" ht="15.75" customHeight="1"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330"/>
      <c r="U231" s="330"/>
      <c r="V231" s="3"/>
      <c r="W231" s="3"/>
      <c r="X231" s="3"/>
      <c r="Y231" s="3"/>
      <c r="Z231" s="3"/>
      <c r="AQ231" s="3"/>
    </row>
    <row r="232" ht="15.75" customHeight="1"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330"/>
      <c r="U232" s="330"/>
      <c r="V232" s="3"/>
      <c r="W232" s="3"/>
      <c r="X232" s="3"/>
      <c r="Y232" s="3"/>
      <c r="Z232" s="3"/>
      <c r="AQ232" s="3"/>
    </row>
    <row r="233" ht="15.75" customHeight="1"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330"/>
      <c r="U233" s="330"/>
      <c r="V233" s="3"/>
      <c r="W233" s="3"/>
      <c r="X233" s="3"/>
      <c r="Y233" s="3"/>
      <c r="Z233" s="3"/>
      <c r="AQ233" s="3"/>
    </row>
    <row r="234" ht="15.75" customHeight="1"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330"/>
      <c r="U234" s="330"/>
      <c r="V234" s="3"/>
      <c r="W234" s="3"/>
      <c r="X234" s="3"/>
      <c r="Y234" s="3"/>
      <c r="Z234" s="3"/>
      <c r="AQ234" s="3"/>
    </row>
    <row r="235" ht="15.75" customHeight="1"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330"/>
      <c r="U235" s="330"/>
      <c r="V235" s="3"/>
      <c r="W235" s="3"/>
      <c r="X235" s="3"/>
      <c r="Y235" s="3"/>
      <c r="Z235" s="3"/>
      <c r="AQ235" s="3"/>
    </row>
    <row r="236" ht="15.75" customHeight="1"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330"/>
      <c r="U236" s="330"/>
      <c r="V236" s="3"/>
      <c r="W236" s="3"/>
      <c r="X236" s="3"/>
      <c r="Y236" s="3"/>
      <c r="Z236" s="3"/>
      <c r="AQ236" s="3"/>
    </row>
    <row r="237" ht="15.75" customHeight="1"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330"/>
      <c r="U237" s="330"/>
      <c r="V237" s="3"/>
      <c r="W237" s="3"/>
      <c r="X237" s="3"/>
      <c r="Y237" s="3"/>
      <c r="Z237" s="3"/>
      <c r="AQ237" s="3"/>
    </row>
    <row r="238" ht="15.75" customHeight="1"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330"/>
      <c r="U238" s="330"/>
      <c r="V238" s="3"/>
      <c r="W238" s="3"/>
      <c r="X238" s="3"/>
      <c r="Y238" s="3"/>
      <c r="Z238" s="3"/>
      <c r="AQ238" s="3"/>
    </row>
    <row r="239" ht="15.75" customHeight="1"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330"/>
      <c r="U239" s="330"/>
      <c r="V239" s="3"/>
      <c r="W239" s="3"/>
      <c r="X239" s="3"/>
      <c r="Y239" s="3"/>
      <c r="Z239" s="3"/>
      <c r="AQ239" s="3"/>
    </row>
    <row r="240" ht="15.75" customHeight="1"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330"/>
      <c r="U240" s="330"/>
      <c r="V240" s="3"/>
      <c r="W240" s="3"/>
      <c r="X240" s="3"/>
      <c r="Y240" s="3"/>
      <c r="Z240" s="3"/>
      <c r="AQ240" s="3"/>
    </row>
    <row r="241" ht="15.75" customHeight="1"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330"/>
      <c r="U241" s="330"/>
      <c r="V241" s="3"/>
      <c r="W241" s="3"/>
      <c r="X241" s="3"/>
      <c r="Y241" s="3"/>
      <c r="Z241" s="3"/>
      <c r="AQ241" s="3"/>
    </row>
    <row r="242" ht="15.75" customHeight="1"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330"/>
      <c r="U242" s="330"/>
      <c r="V242" s="3"/>
      <c r="W242" s="3"/>
      <c r="X242" s="3"/>
      <c r="Y242" s="3"/>
      <c r="Z242" s="3"/>
      <c r="AQ242" s="3"/>
    </row>
    <row r="243" ht="15.75" customHeight="1"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330"/>
      <c r="U243" s="330"/>
      <c r="V243" s="3"/>
      <c r="W243" s="3"/>
      <c r="X243" s="3"/>
      <c r="Y243" s="3"/>
      <c r="Z243" s="3"/>
      <c r="AQ243" s="3"/>
    </row>
    <row r="244" ht="15.75" customHeight="1"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330"/>
      <c r="U244" s="330"/>
      <c r="V244" s="3"/>
      <c r="W244" s="3"/>
      <c r="X244" s="3"/>
      <c r="Y244" s="3"/>
      <c r="Z244" s="3"/>
      <c r="AQ244" s="3"/>
    </row>
    <row r="245" ht="15.75" customHeight="1"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330"/>
      <c r="U245" s="330"/>
      <c r="V245" s="3"/>
      <c r="W245" s="3"/>
      <c r="X245" s="3"/>
      <c r="Y245" s="3"/>
      <c r="Z245" s="3"/>
      <c r="AQ245" s="3"/>
    </row>
    <row r="246" ht="15.75" customHeight="1"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330"/>
      <c r="U246" s="330"/>
      <c r="V246" s="3"/>
      <c r="W246" s="3"/>
      <c r="X246" s="3"/>
      <c r="Y246" s="3"/>
      <c r="Z246" s="3"/>
      <c r="AQ246" s="3"/>
    </row>
    <row r="247" ht="15.75" customHeight="1"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330"/>
      <c r="U247" s="330"/>
      <c r="V247" s="3"/>
      <c r="W247" s="3"/>
      <c r="X247" s="3"/>
      <c r="Y247" s="3"/>
      <c r="Z247" s="3"/>
      <c r="AQ247" s="3"/>
    </row>
    <row r="248" ht="15.75" customHeight="1"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330"/>
      <c r="U248" s="330"/>
      <c r="V248" s="3"/>
      <c r="W248" s="3"/>
      <c r="X248" s="3"/>
      <c r="Y248" s="3"/>
      <c r="Z248" s="3"/>
      <c r="AQ248" s="3"/>
    </row>
    <row r="249" ht="15.75" customHeight="1"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330"/>
      <c r="U249" s="330"/>
      <c r="V249" s="3"/>
      <c r="W249" s="3"/>
      <c r="X249" s="3"/>
      <c r="Y249" s="3"/>
      <c r="Z249" s="3"/>
      <c r="AQ249" s="3"/>
    </row>
    <row r="250" ht="15.75" customHeight="1"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330"/>
      <c r="U250" s="330"/>
      <c r="V250" s="3"/>
      <c r="W250" s="3"/>
      <c r="X250" s="3"/>
      <c r="Y250" s="3"/>
      <c r="Z250" s="3"/>
      <c r="AQ250" s="3"/>
    </row>
    <row r="251" ht="15.75" customHeight="1"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330"/>
      <c r="U251" s="330"/>
      <c r="V251" s="3"/>
      <c r="W251" s="3"/>
      <c r="X251" s="3"/>
      <c r="Y251" s="3"/>
      <c r="Z251" s="3"/>
      <c r="AQ251" s="3"/>
    </row>
    <row r="252" ht="15.75" customHeight="1"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330"/>
      <c r="U252" s="330"/>
      <c r="V252" s="3"/>
      <c r="W252" s="3"/>
      <c r="X252" s="3"/>
      <c r="Y252" s="3"/>
      <c r="Z252" s="3"/>
      <c r="AQ252" s="3"/>
    </row>
    <row r="253" ht="15.75" customHeight="1"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330"/>
      <c r="U253" s="330"/>
      <c r="V253" s="3"/>
      <c r="W253" s="3"/>
      <c r="X253" s="3"/>
      <c r="Y253" s="3"/>
      <c r="Z253" s="3"/>
      <c r="AQ253" s="3"/>
    </row>
    <row r="254" ht="15.75" customHeight="1"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330"/>
      <c r="U254" s="330"/>
      <c r="V254" s="3"/>
      <c r="W254" s="3"/>
      <c r="X254" s="3"/>
      <c r="Y254" s="3"/>
      <c r="Z254" s="3"/>
      <c r="AQ254" s="3"/>
    </row>
    <row r="255" ht="15.75" customHeight="1"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330"/>
      <c r="U255" s="330"/>
      <c r="V255" s="3"/>
      <c r="W255" s="3"/>
      <c r="X255" s="3"/>
      <c r="Y255" s="3"/>
      <c r="Z255" s="3"/>
      <c r="AQ255" s="3"/>
    </row>
    <row r="256" ht="15.75" customHeight="1"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330"/>
      <c r="U256" s="330"/>
      <c r="V256" s="3"/>
      <c r="W256" s="3"/>
      <c r="X256" s="3"/>
      <c r="Y256" s="3"/>
      <c r="Z256" s="3"/>
      <c r="AQ256" s="3"/>
    </row>
    <row r="257" ht="15.75" customHeight="1"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330"/>
      <c r="U257" s="330"/>
      <c r="V257" s="3"/>
      <c r="W257" s="3"/>
      <c r="X257" s="3"/>
      <c r="Y257" s="3"/>
      <c r="Z257" s="3"/>
      <c r="AQ257" s="3"/>
    </row>
    <row r="258" ht="15.75" customHeight="1"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330"/>
      <c r="U258" s="330"/>
      <c r="V258" s="3"/>
      <c r="W258" s="3"/>
      <c r="X258" s="3"/>
      <c r="Y258" s="3"/>
      <c r="Z258" s="3"/>
      <c r="AQ258" s="3"/>
    </row>
    <row r="259" ht="15.75" customHeight="1"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330"/>
      <c r="U259" s="330"/>
      <c r="V259" s="3"/>
      <c r="W259" s="3"/>
      <c r="X259" s="3"/>
      <c r="Y259" s="3"/>
      <c r="Z259" s="3"/>
      <c r="AQ259" s="3"/>
    </row>
    <row r="260" ht="15.75" customHeight="1"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330"/>
      <c r="U260" s="330"/>
      <c r="V260" s="3"/>
      <c r="W260" s="3"/>
      <c r="X260" s="3"/>
      <c r="Y260" s="3"/>
      <c r="Z260" s="3"/>
      <c r="AQ260" s="3"/>
    </row>
    <row r="261" ht="15.75" customHeight="1"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330"/>
      <c r="U261" s="330"/>
      <c r="V261" s="3"/>
      <c r="W261" s="3"/>
      <c r="X261" s="3"/>
      <c r="Y261" s="3"/>
      <c r="Z261" s="3"/>
      <c r="AQ261" s="3"/>
    </row>
    <row r="262" ht="15.75" customHeight="1"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330"/>
      <c r="U262" s="330"/>
      <c r="V262" s="3"/>
      <c r="W262" s="3"/>
      <c r="X262" s="3"/>
      <c r="Y262" s="3"/>
      <c r="Z262" s="3"/>
      <c r="AQ262" s="3"/>
    </row>
    <row r="263" ht="15.75" customHeight="1"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330"/>
      <c r="U263" s="330"/>
      <c r="V263" s="3"/>
      <c r="W263" s="3"/>
      <c r="X263" s="3"/>
      <c r="Y263" s="3"/>
      <c r="Z263" s="3"/>
      <c r="AQ263" s="3"/>
    </row>
    <row r="264" ht="15.75" customHeight="1"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330"/>
      <c r="U264" s="330"/>
      <c r="V264" s="3"/>
      <c r="W264" s="3"/>
      <c r="X264" s="3"/>
      <c r="Y264" s="3"/>
      <c r="Z264" s="3"/>
      <c r="AQ264" s="3"/>
    </row>
    <row r="265" ht="15.75" customHeight="1"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330"/>
      <c r="U265" s="330"/>
      <c r="V265" s="3"/>
      <c r="W265" s="3"/>
      <c r="X265" s="3"/>
      <c r="Y265" s="3"/>
      <c r="Z265" s="3"/>
      <c r="AQ265" s="3"/>
    </row>
    <row r="266" ht="15.75" customHeight="1"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330"/>
      <c r="U266" s="330"/>
      <c r="V266" s="3"/>
      <c r="W266" s="3"/>
      <c r="X266" s="3"/>
      <c r="Y266" s="3"/>
      <c r="Z266" s="3"/>
      <c r="AQ266" s="3"/>
    </row>
    <row r="267" ht="15.75" customHeight="1"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330"/>
      <c r="U267" s="330"/>
      <c r="V267" s="3"/>
      <c r="W267" s="3"/>
      <c r="X267" s="3"/>
      <c r="Y267" s="3"/>
      <c r="Z267" s="3"/>
      <c r="AQ267" s="3"/>
    </row>
    <row r="268" ht="15.75" customHeight="1"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330"/>
      <c r="U268" s="330"/>
      <c r="V268" s="3"/>
      <c r="W268" s="3"/>
      <c r="X268" s="3"/>
      <c r="Y268" s="3"/>
      <c r="Z268" s="3"/>
      <c r="AQ268" s="3"/>
    </row>
    <row r="269" ht="15.75" customHeight="1"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330"/>
      <c r="U269" s="330"/>
      <c r="V269" s="3"/>
      <c r="W269" s="3"/>
      <c r="X269" s="3"/>
      <c r="Y269" s="3"/>
      <c r="Z269" s="3"/>
      <c r="AQ269" s="3"/>
    </row>
    <row r="270" ht="15.75" customHeight="1"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330"/>
      <c r="U270" s="330"/>
      <c r="V270" s="3"/>
      <c r="W270" s="3"/>
      <c r="X270" s="3"/>
      <c r="Y270" s="3"/>
      <c r="Z270" s="3"/>
      <c r="AQ270" s="3"/>
    </row>
    <row r="271" ht="15.75" customHeight="1"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330"/>
      <c r="U271" s="330"/>
      <c r="V271" s="3"/>
      <c r="W271" s="3"/>
      <c r="X271" s="3"/>
      <c r="Y271" s="3"/>
      <c r="Z271" s="3"/>
      <c r="AQ271" s="3"/>
    </row>
    <row r="272" ht="15.75" customHeight="1"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330"/>
      <c r="U272" s="330"/>
      <c r="V272" s="3"/>
      <c r="W272" s="3"/>
      <c r="X272" s="3"/>
      <c r="Y272" s="3"/>
      <c r="Z272" s="3"/>
      <c r="AQ272" s="3"/>
    </row>
    <row r="273" ht="15.75" customHeight="1"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330"/>
      <c r="U273" s="330"/>
      <c r="V273" s="3"/>
      <c r="W273" s="3"/>
      <c r="X273" s="3"/>
      <c r="Y273" s="3"/>
      <c r="Z273" s="3"/>
      <c r="AQ273" s="3"/>
    </row>
    <row r="274" ht="15.75" customHeight="1"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330"/>
      <c r="U274" s="330"/>
      <c r="V274" s="3"/>
      <c r="W274" s="3"/>
      <c r="X274" s="3"/>
      <c r="Y274" s="3"/>
      <c r="Z274" s="3"/>
      <c r="AQ274" s="3"/>
    </row>
    <row r="275" ht="15.75" customHeight="1"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330"/>
      <c r="U275" s="330"/>
      <c r="V275" s="3"/>
      <c r="W275" s="3"/>
      <c r="X275" s="3"/>
      <c r="Y275" s="3"/>
      <c r="Z275" s="3"/>
      <c r="AQ275" s="3"/>
    </row>
    <row r="276" ht="15.75" customHeight="1"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330"/>
      <c r="U276" s="330"/>
      <c r="V276" s="3"/>
      <c r="W276" s="3"/>
      <c r="X276" s="3"/>
      <c r="Y276" s="3"/>
      <c r="Z276" s="3"/>
      <c r="AQ276" s="3"/>
    </row>
    <row r="277" ht="15.75" customHeight="1"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330"/>
      <c r="U277" s="330"/>
      <c r="V277" s="3"/>
      <c r="W277" s="3"/>
      <c r="X277" s="3"/>
      <c r="Y277" s="3"/>
      <c r="Z277" s="3"/>
      <c r="AQ277" s="3"/>
    </row>
    <row r="278" ht="15.75" customHeight="1"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330"/>
      <c r="U278" s="330"/>
      <c r="V278" s="3"/>
      <c r="W278" s="3"/>
      <c r="X278" s="3"/>
      <c r="Y278" s="3"/>
      <c r="Z278" s="3"/>
      <c r="AQ278" s="3"/>
    </row>
    <row r="279" ht="15.75" customHeight="1"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330"/>
      <c r="U279" s="330"/>
      <c r="V279" s="3"/>
      <c r="W279" s="3"/>
      <c r="X279" s="3"/>
      <c r="Y279" s="3"/>
      <c r="Z279" s="3"/>
      <c r="AQ279" s="3"/>
    </row>
    <row r="280" ht="15.75" customHeight="1"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330"/>
      <c r="U280" s="330"/>
      <c r="V280" s="3"/>
      <c r="W280" s="3"/>
      <c r="X280" s="3"/>
      <c r="Y280" s="3"/>
      <c r="Z280" s="3"/>
      <c r="AQ280" s="3"/>
    </row>
    <row r="281" ht="15.75" customHeight="1"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330"/>
      <c r="U281" s="330"/>
      <c r="V281" s="3"/>
      <c r="W281" s="3"/>
      <c r="X281" s="3"/>
      <c r="Y281" s="3"/>
      <c r="Z281" s="3"/>
      <c r="AQ281" s="3"/>
    </row>
    <row r="282" ht="15.75" customHeight="1"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330"/>
      <c r="U282" s="330"/>
      <c r="V282" s="3"/>
      <c r="W282" s="3"/>
      <c r="X282" s="3"/>
      <c r="Y282" s="3"/>
      <c r="Z282" s="3"/>
      <c r="AQ282" s="3"/>
    </row>
    <row r="283" ht="15.75" customHeight="1"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330"/>
      <c r="U283" s="330"/>
      <c r="V283" s="3"/>
      <c r="W283" s="3"/>
      <c r="X283" s="3"/>
      <c r="Y283" s="3"/>
      <c r="Z283" s="3"/>
      <c r="AQ283" s="3"/>
    </row>
    <row r="284" ht="15.75" customHeight="1"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330"/>
      <c r="U284" s="330"/>
      <c r="V284" s="3"/>
      <c r="W284" s="3"/>
      <c r="X284" s="3"/>
      <c r="Y284" s="3"/>
      <c r="Z284" s="3"/>
      <c r="AQ284" s="3"/>
    </row>
    <row r="285" ht="15.75" customHeight="1"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330"/>
      <c r="U285" s="330"/>
      <c r="V285" s="3"/>
      <c r="W285" s="3"/>
      <c r="X285" s="3"/>
      <c r="Y285" s="3"/>
      <c r="Z285" s="3"/>
      <c r="AQ285" s="3"/>
    </row>
    <row r="286" ht="15.75" customHeight="1"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330"/>
      <c r="U286" s="330"/>
      <c r="V286" s="3"/>
      <c r="W286" s="3"/>
      <c r="X286" s="3"/>
      <c r="Y286" s="3"/>
      <c r="Z286" s="3"/>
      <c r="AQ286" s="3"/>
    </row>
    <row r="287" ht="15.75" customHeight="1"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330"/>
      <c r="U287" s="330"/>
      <c r="V287" s="3"/>
      <c r="W287" s="3"/>
      <c r="X287" s="3"/>
      <c r="Y287" s="3"/>
      <c r="Z287" s="3"/>
      <c r="AQ287" s="3"/>
    </row>
    <row r="288" ht="15.75" customHeight="1"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330"/>
      <c r="U288" s="330"/>
      <c r="V288" s="3"/>
      <c r="W288" s="3"/>
      <c r="X288" s="3"/>
      <c r="Y288" s="3"/>
      <c r="Z288" s="3"/>
      <c r="AQ288" s="3"/>
    </row>
    <row r="289" ht="15.75" customHeight="1"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330"/>
      <c r="U289" s="330"/>
      <c r="V289" s="3"/>
      <c r="W289" s="3"/>
      <c r="X289" s="3"/>
      <c r="Y289" s="3"/>
      <c r="Z289" s="3"/>
      <c r="AQ289" s="3"/>
    </row>
    <row r="290" ht="15.75" customHeight="1"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330"/>
      <c r="U290" s="330"/>
      <c r="V290" s="3"/>
      <c r="W290" s="3"/>
      <c r="X290" s="3"/>
      <c r="Y290" s="3"/>
      <c r="Z290" s="3"/>
      <c r="AQ290" s="3"/>
    </row>
    <row r="291" ht="15.75" customHeight="1"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330"/>
      <c r="U291" s="330"/>
      <c r="V291" s="3"/>
      <c r="W291" s="3"/>
      <c r="X291" s="3"/>
      <c r="Y291" s="3"/>
      <c r="Z291" s="3"/>
      <c r="AQ291" s="3"/>
    </row>
    <row r="292" ht="15.75" customHeight="1"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330"/>
      <c r="U292" s="330"/>
      <c r="V292" s="3"/>
      <c r="W292" s="3"/>
      <c r="X292" s="3"/>
      <c r="Y292" s="3"/>
      <c r="Z292" s="3"/>
      <c r="AQ292" s="3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M54:N54"/>
    <mergeCell ref="O54:P54"/>
    <mergeCell ref="Q54:R54"/>
    <mergeCell ref="M45:N45"/>
    <mergeCell ref="O45:P45"/>
    <mergeCell ref="C54:D54"/>
    <mergeCell ref="E54:F54"/>
    <mergeCell ref="G54:H54"/>
    <mergeCell ref="I54:J54"/>
    <mergeCell ref="K54:L54"/>
    <mergeCell ref="E63:F63"/>
    <mergeCell ref="G63:H63"/>
    <mergeCell ref="I63:J63"/>
    <mergeCell ref="K63:L63"/>
    <mergeCell ref="M63:N63"/>
    <mergeCell ref="O63:P63"/>
    <mergeCell ref="Q63:R63"/>
    <mergeCell ref="C63:D63"/>
    <mergeCell ref="C72:D72"/>
    <mergeCell ref="E72:F72"/>
    <mergeCell ref="G72:H72"/>
    <mergeCell ref="I72:J72"/>
    <mergeCell ref="K72:L72"/>
    <mergeCell ref="M72:N72"/>
    <mergeCell ref="B1:S1"/>
    <mergeCell ref="C2:D2"/>
    <mergeCell ref="E2:F2"/>
    <mergeCell ref="G2:H2"/>
    <mergeCell ref="I2:J2"/>
    <mergeCell ref="K2:L2"/>
    <mergeCell ref="M2:N2"/>
    <mergeCell ref="O2:P2"/>
    <mergeCell ref="Q2:R2"/>
    <mergeCell ref="C12:D12"/>
    <mergeCell ref="E12:F12"/>
    <mergeCell ref="G12:H12"/>
    <mergeCell ref="I12:J12"/>
    <mergeCell ref="K12:L12"/>
    <mergeCell ref="Q12:R12"/>
    <mergeCell ref="M22:N22"/>
    <mergeCell ref="O22:P22"/>
    <mergeCell ref="Q22:R22"/>
    <mergeCell ref="M12:N12"/>
    <mergeCell ref="O12:P12"/>
    <mergeCell ref="C22:D22"/>
    <mergeCell ref="E22:F22"/>
    <mergeCell ref="G22:H22"/>
    <mergeCell ref="I22:J22"/>
    <mergeCell ref="K22:L22"/>
    <mergeCell ref="C32:D32"/>
    <mergeCell ref="E32:F32"/>
    <mergeCell ref="G32:H32"/>
    <mergeCell ref="I32:J32"/>
    <mergeCell ref="K32:L32"/>
    <mergeCell ref="M32:N32"/>
    <mergeCell ref="O32:P32"/>
    <mergeCell ref="Q32:R32"/>
    <mergeCell ref="A44:S44"/>
    <mergeCell ref="C45:D45"/>
    <mergeCell ref="E45:F45"/>
    <mergeCell ref="G45:H45"/>
    <mergeCell ref="I45:J45"/>
    <mergeCell ref="K45:L45"/>
    <mergeCell ref="Q45:R45"/>
    <mergeCell ref="O72:P72"/>
    <mergeCell ref="Q72:R72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7" width="10.71"/>
    <col customWidth="1" min="8" max="8" width="12.29"/>
    <col customWidth="1" min="9" max="9" width="11.71"/>
    <col customWidth="1" min="10" max="2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 t="s">
        <v>38</v>
      </c>
      <c r="K1" s="3"/>
      <c r="L1" s="3"/>
      <c r="M1" s="3"/>
      <c r="N1" s="3"/>
      <c r="O1" s="3"/>
      <c r="P1" s="3"/>
      <c r="Q1" s="3"/>
      <c r="R1" s="3"/>
      <c r="S1" s="3"/>
      <c r="T1" s="3" t="s">
        <v>87</v>
      </c>
      <c r="U1" s="3" t="s">
        <v>310</v>
      </c>
      <c r="V1" s="3"/>
      <c r="W1" s="3"/>
      <c r="X1" s="3"/>
      <c r="Y1" s="3"/>
      <c r="Z1" s="3"/>
      <c r="AA1" s="3" t="s">
        <v>87</v>
      </c>
      <c r="AB1" s="3" t="s">
        <v>310</v>
      </c>
    </row>
    <row r="2">
      <c r="A2" s="3"/>
      <c r="B2" s="3"/>
      <c r="C2" s="32" t="s">
        <v>311</v>
      </c>
      <c r="D2" s="3">
        <v>80.0</v>
      </c>
      <c r="E2" s="32" t="s">
        <v>87</v>
      </c>
      <c r="F2" s="379">
        <v>1400.0</v>
      </c>
      <c r="G2" s="380">
        <v>0.0065</v>
      </c>
      <c r="H2" s="381">
        <v>1.21</v>
      </c>
      <c r="I2" s="382">
        <v>4.0</v>
      </c>
      <c r="J2" s="383">
        <v>1.0</v>
      </c>
      <c r="K2" s="384">
        <v>2.0</v>
      </c>
      <c r="L2" s="3">
        <v>3.0</v>
      </c>
      <c r="M2" s="3">
        <v>1000.0</v>
      </c>
      <c r="N2" s="3"/>
      <c r="P2" s="3"/>
      <c r="Q2" s="3"/>
      <c r="R2" s="3"/>
      <c r="S2" s="3"/>
      <c r="T2" s="385">
        <v>2.0</v>
      </c>
      <c r="U2" s="3">
        <v>1.0</v>
      </c>
      <c r="W2" s="3"/>
      <c r="X2" s="3"/>
      <c r="Y2" s="3"/>
      <c r="Z2" s="3"/>
      <c r="AA2" s="3">
        <v>3.2</v>
      </c>
      <c r="AB2" s="3">
        <v>134.0</v>
      </c>
      <c r="AC2" s="3">
        <v>1050.0</v>
      </c>
      <c r="AD2" s="3">
        <v>2600.0</v>
      </c>
      <c r="AE2" s="3">
        <v>5150.0</v>
      </c>
    </row>
    <row r="3">
      <c r="A3" s="60"/>
      <c r="B3" s="386" t="s">
        <v>312</v>
      </c>
      <c r="C3" s="387"/>
      <c r="D3" s="388"/>
      <c r="E3" s="36">
        <f t="shared" ref="E3:E8" si="1">T3</f>
        <v>0.08645</v>
      </c>
      <c r="F3" s="61">
        <f>E3*F2</f>
        <v>121.03</v>
      </c>
      <c r="G3" s="36"/>
      <c r="H3" s="389">
        <f>F3*H2</f>
        <v>146.4463</v>
      </c>
      <c r="I3" s="390">
        <f>H3/I2</f>
        <v>36.611575</v>
      </c>
      <c r="J3" s="383">
        <f>I3*J2</f>
        <v>36.611575</v>
      </c>
      <c r="K3" s="391">
        <f>J3/K2*1.25</f>
        <v>22.88223438</v>
      </c>
      <c r="L3" s="3"/>
      <c r="M3" s="3"/>
      <c r="N3" s="3"/>
      <c r="P3" s="60">
        <v>65.0</v>
      </c>
      <c r="Q3" s="60">
        <v>95.0</v>
      </c>
      <c r="R3" s="60">
        <v>70.0</v>
      </c>
      <c r="S3" s="3">
        <f t="shared" ref="S3:S8" si="2">P3*Q3*R3/20000</f>
        <v>21.6125</v>
      </c>
      <c r="T3" s="107">
        <f>S3*T2*U2/500</f>
        <v>0.08645</v>
      </c>
      <c r="U3" s="3">
        <f t="shared" ref="U3:U8" si="3">T3/4</f>
        <v>0.0216125</v>
      </c>
      <c r="W3" s="392">
        <v>72.0</v>
      </c>
      <c r="X3" s="392">
        <v>102.0</v>
      </c>
      <c r="Y3" s="392">
        <v>150.0</v>
      </c>
      <c r="Z3" s="392">
        <f t="shared" ref="Z3:Z10" si="4">W3*X3*Y3/20000</f>
        <v>55.08</v>
      </c>
      <c r="AA3" s="107">
        <f>Z3*AA2*AB2/500</f>
        <v>47.236608</v>
      </c>
      <c r="AB3" s="3">
        <f t="shared" ref="AB3:AB10" si="5">AA3*1.21</f>
        <v>57.15629568</v>
      </c>
      <c r="AC3" s="3">
        <f t="shared" ref="AC3:AC10" si="6">AB3*$AC$2</f>
        <v>60014.11046</v>
      </c>
      <c r="AD3" s="3">
        <f t="shared" ref="AD3:AD10" si="7">AB3*AD$2</f>
        <v>148606.3688</v>
      </c>
      <c r="AE3" s="3">
        <f t="shared" ref="AE3:AE10" si="8">AB3*AE$2</f>
        <v>294354.9228</v>
      </c>
    </row>
    <row r="4">
      <c r="A4" s="60"/>
      <c r="B4" s="386" t="s">
        <v>313</v>
      </c>
      <c r="C4" s="387"/>
      <c r="D4" s="388"/>
      <c r="E4" s="36">
        <f t="shared" si="1"/>
        <v>0.0988</v>
      </c>
      <c r="F4" s="61">
        <f>E:E*F2</f>
        <v>138.32</v>
      </c>
      <c r="G4" s="36"/>
      <c r="H4" s="389">
        <f>F4*H2</f>
        <v>167.3672</v>
      </c>
      <c r="I4" s="390">
        <f>H4/I2</f>
        <v>41.8418</v>
      </c>
      <c r="J4" s="383">
        <f>I4*J2</f>
        <v>41.8418</v>
      </c>
      <c r="K4" s="391">
        <f>J4/K2*1.25</f>
        <v>26.151125</v>
      </c>
      <c r="L4" s="3"/>
      <c r="M4" s="3"/>
      <c r="N4" s="3"/>
      <c r="P4" s="60">
        <v>65.0</v>
      </c>
      <c r="Q4" s="60">
        <v>95.0</v>
      </c>
      <c r="R4" s="60">
        <v>80.0</v>
      </c>
      <c r="S4" s="3">
        <f t="shared" si="2"/>
        <v>24.7</v>
      </c>
      <c r="T4" s="107">
        <f>S4*T2*U2/500</f>
        <v>0.0988</v>
      </c>
      <c r="U4" s="3">
        <f t="shared" si="3"/>
        <v>0.0247</v>
      </c>
      <c r="W4" s="393">
        <v>95.0</v>
      </c>
      <c r="X4" s="393">
        <v>65.0</v>
      </c>
      <c r="Y4" s="393">
        <v>150.0</v>
      </c>
      <c r="Z4" s="393">
        <f t="shared" si="4"/>
        <v>46.3125</v>
      </c>
      <c r="AA4" s="107">
        <f>Z4*AA2*AB2/500</f>
        <v>39.7176</v>
      </c>
      <c r="AB4" s="3">
        <f t="shared" si="5"/>
        <v>48.058296</v>
      </c>
      <c r="AC4" s="3">
        <f t="shared" si="6"/>
        <v>50461.2108</v>
      </c>
      <c r="AD4" s="3">
        <f t="shared" si="7"/>
        <v>124951.5696</v>
      </c>
      <c r="AE4" s="3">
        <f t="shared" si="8"/>
        <v>247500.2244</v>
      </c>
    </row>
    <row r="5">
      <c r="A5" s="60"/>
      <c r="B5" s="386" t="s">
        <v>314</v>
      </c>
      <c r="C5" s="387"/>
      <c r="D5" s="388"/>
      <c r="E5" s="36">
        <f t="shared" si="1"/>
        <v>0.11115</v>
      </c>
      <c r="F5" s="61">
        <f>E5*F2</f>
        <v>155.61</v>
      </c>
      <c r="G5" s="36"/>
      <c r="H5" s="389">
        <f>F5*H2</f>
        <v>188.2881</v>
      </c>
      <c r="I5" s="390">
        <f>H5/I2</f>
        <v>47.072025</v>
      </c>
      <c r="J5" s="383">
        <f>I5*J2</f>
        <v>47.072025</v>
      </c>
      <c r="K5" s="391">
        <f>J5/K2*1.25</f>
        <v>29.42001563</v>
      </c>
      <c r="L5" s="3"/>
      <c r="M5" s="3"/>
      <c r="N5" s="3"/>
      <c r="P5" s="60">
        <v>65.0</v>
      </c>
      <c r="Q5" s="60">
        <v>95.0</v>
      </c>
      <c r="R5" s="60">
        <v>90.0</v>
      </c>
      <c r="S5" s="3">
        <f t="shared" si="2"/>
        <v>27.7875</v>
      </c>
      <c r="T5" s="107">
        <f>S5*T2*U2/500</f>
        <v>0.11115</v>
      </c>
      <c r="U5" s="3">
        <f t="shared" si="3"/>
        <v>0.0277875</v>
      </c>
      <c r="W5" s="3">
        <v>95.0</v>
      </c>
      <c r="X5" s="3">
        <v>65.0</v>
      </c>
      <c r="Y5" s="3">
        <v>115.0</v>
      </c>
      <c r="Z5" s="3">
        <f t="shared" si="4"/>
        <v>35.50625</v>
      </c>
      <c r="AA5" s="107">
        <f>Z5*AA2*AB2/500</f>
        <v>30.45016</v>
      </c>
      <c r="AB5" s="3">
        <f t="shared" si="5"/>
        <v>36.8446936</v>
      </c>
      <c r="AC5" s="3">
        <f t="shared" si="6"/>
        <v>38686.92828</v>
      </c>
      <c r="AD5" s="3">
        <f t="shared" si="7"/>
        <v>95796.20336</v>
      </c>
      <c r="AE5" s="3">
        <f t="shared" si="8"/>
        <v>189750.172</v>
      </c>
    </row>
    <row r="6">
      <c r="A6" s="60"/>
      <c r="B6" s="386" t="s">
        <v>315</v>
      </c>
      <c r="C6" s="387"/>
      <c r="D6" s="388"/>
      <c r="E6" s="36">
        <f t="shared" si="1"/>
        <v>0.11115</v>
      </c>
      <c r="F6" s="61">
        <f>E6*F2</f>
        <v>155.61</v>
      </c>
      <c r="G6" s="36"/>
      <c r="H6" s="389">
        <f>F6*H2</f>
        <v>188.2881</v>
      </c>
      <c r="I6" s="390">
        <f>H6/I2</f>
        <v>47.072025</v>
      </c>
      <c r="J6" s="383">
        <f>I6*J2</f>
        <v>47.072025</v>
      </c>
      <c r="K6" s="391">
        <f>J6/K2*1.25</f>
        <v>29.42001563</v>
      </c>
      <c r="L6" s="3"/>
      <c r="M6" s="3">
        <v>0.0232925</v>
      </c>
      <c r="N6" s="3"/>
      <c r="P6" s="60">
        <v>65.0</v>
      </c>
      <c r="Q6" s="60">
        <v>95.0</v>
      </c>
      <c r="R6" s="60">
        <v>90.0</v>
      </c>
      <c r="S6" s="3">
        <f t="shared" si="2"/>
        <v>27.7875</v>
      </c>
      <c r="T6" s="107">
        <f>S6*T2*U2/500</f>
        <v>0.11115</v>
      </c>
      <c r="U6" s="3">
        <f t="shared" si="3"/>
        <v>0.0277875</v>
      </c>
      <c r="W6" s="107">
        <v>72.0</v>
      </c>
      <c r="X6" s="107">
        <v>102.0</v>
      </c>
      <c r="Y6" s="107">
        <v>115.0</v>
      </c>
      <c r="Z6" s="107">
        <f t="shared" si="4"/>
        <v>42.228</v>
      </c>
      <c r="AA6" s="107">
        <f>Z6*AA2*AB2/500</f>
        <v>36.2147328</v>
      </c>
      <c r="AB6" s="3">
        <f t="shared" si="5"/>
        <v>43.81982669</v>
      </c>
      <c r="AC6" s="3">
        <f t="shared" si="6"/>
        <v>46010.81802</v>
      </c>
      <c r="AD6" s="3">
        <f t="shared" si="7"/>
        <v>113931.5494</v>
      </c>
      <c r="AE6" s="3">
        <f t="shared" si="8"/>
        <v>225672.1074</v>
      </c>
    </row>
    <row r="7">
      <c r="A7" s="60"/>
      <c r="B7" s="394" t="s">
        <v>316</v>
      </c>
      <c r="C7" s="395"/>
      <c r="D7" s="396"/>
      <c r="E7" s="36">
        <f t="shared" si="1"/>
        <v>0.132192</v>
      </c>
      <c r="F7" s="61">
        <f>E7*F2</f>
        <v>185.0688</v>
      </c>
      <c r="G7" s="36"/>
      <c r="H7" s="389">
        <f>F7*H2</f>
        <v>223.933248</v>
      </c>
      <c r="I7" s="390">
        <f>H7/I2</f>
        <v>55.983312</v>
      </c>
      <c r="J7" s="383">
        <f>I7*J2</f>
        <v>55.983312</v>
      </c>
      <c r="K7" s="391">
        <f>J7/K2*1.25</f>
        <v>34.98957</v>
      </c>
      <c r="L7" s="397">
        <f>H7/L2</f>
        <v>74.644416</v>
      </c>
      <c r="M7" s="3"/>
      <c r="N7" s="3"/>
      <c r="P7" s="60">
        <v>72.0</v>
      </c>
      <c r="Q7" s="60">
        <v>102.0</v>
      </c>
      <c r="R7" s="60">
        <v>90.0</v>
      </c>
      <c r="S7" s="3">
        <f t="shared" si="2"/>
        <v>33.048</v>
      </c>
      <c r="T7" s="107">
        <f>S7*T2*U2/500</f>
        <v>0.132192</v>
      </c>
      <c r="U7" s="3">
        <f t="shared" si="3"/>
        <v>0.033048</v>
      </c>
      <c r="W7" s="3">
        <v>72.0</v>
      </c>
      <c r="X7" s="3">
        <v>102.0</v>
      </c>
      <c r="Y7" s="3">
        <v>220.0</v>
      </c>
      <c r="Z7" s="3">
        <f t="shared" si="4"/>
        <v>80.784</v>
      </c>
      <c r="AA7" s="107">
        <f>Z7*AA2*AB2/500</f>
        <v>69.2803584</v>
      </c>
      <c r="AB7" s="3">
        <f t="shared" si="5"/>
        <v>83.82923366</v>
      </c>
      <c r="AC7" s="3">
        <f t="shared" si="6"/>
        <v>88020.69535</v>
      </c>
      <c r="AD7" s="3">
        <f t="shared" si="7"/>
        <v>217956.0075</v>
      </c>
      <c r="AE7" s="3">
        <f t="shared" si="8"/>
        <v>431720.5534</v>
      </c>
    </row>
    <row r="8">
      <c r="A8" s="60"/>
      <c r="B8" s="394" t="s">
        <v>317</v>
      </c>
      <c r="C8" s="395"/>
      <c r="D8" s="396"/>
      <c r="E8" s="36">
        <f t="shared" si="1"/>
        <v>0.132192</v>
      </c>
      <c r="F8" s="61">
        <f>E8*F2</f>
        <v>185.0688</v>
      </c>
      <c r="G8" s="36"/>
      <c r="H8" s="389">
        <f>F8*H2</f>
        <v>223.933248</v>
      </c>
      <c r="I8" s="390">
        <f>H8/I2</f>
        <v>55.983312</v>
      </c>
      <c r="J8" s="383">
        <f>I8*J2</f>
        <v>55.983312</v>
      </c>
      <c r="K8" s="391">
        <f>J8/K2*1.25</f>
        <v>34.98957</v>
      </c>
      <c r="L8" s="397">
        <f>H8/L2</f>
        <v>74.644416</v>
      </c>
      <c r="M8" s="3">
        <v>0.036784</v>
      </c>
      <c r="N8" s="3"/>
      <c r="P8" s="60">
        <v>72.0</v>
      </c>
      <c r="Q8" s="60">
        <v>102.0</v>
      </c>
      <c r="R8" s="60">
        <v>90.0</v>
      </c>
      <c r="S8" s="3">
        <f t="shared" si="2"/>
        <v>33.048</v>
      </c>
      <c r="T8" s="107">
        <f>S8*T2*U2/500</f>
        <v>0.132192</v>
      </c>
      <c r="U8" s="3">
        <f t="shared" si="3"/>
        <v>0.033048</v>
      </c>
      <c r="W8" s="3">
        <v>65.0</v>
      </c>
      <c r="X8" s="3">
        <v>95.0</v>
      </c>
      <c r="Y8" s="3">
        <v>300.0</v>
      </c>
      <c r="Z8" s="3">
        <f t="shared" si="4"/>
        <v>92.625</v>
      </c>
      <c r="AA8" s="107">
        <f>Z8*AA2*AB2/500</f>
        <v>79.4352</v>
      </c>
      <c r="AB8" s="3">
        <f t="shared" si="5"/>
        <v>96.116592</v>
      </c>
      <c r="AC8" s="3">
        <f t="shared" si="6"/>
        <v>100922.4216</v>
      </c>
      <c r="AD8" s="3">
        <f t="shared" si="7"/>
        <v>249903.1392</v>
      </c>
      <c r="AE8" s="3">
        <f t="shared" si="8"/>
        <v>495000.4488</v>
      </c>
    </row>
    <row r="9">
      <c r="A9" s="3"/>
      <c r="B9" s="398"/>
      <c r="C9" s="32"/>
      <c r="D9" s="3"/>
      <c r="E9" s="36"/>
      <c r="F9" s="61">
        <f>E9*F4</f>
        <v>0</v>
      </c>
      <c r="G9" s="36"/>
      <c r="H9" s="389"/>
      <c r="I9" s="390">
        <f>H9/I7</f>
        <v>0</v>
      </c>
      <c r="J9" s="383"/>
      <c r="K9" s="391">
        <f>J9/K2</f>
        <v>0</v>
      </c>
      <c r="L9" s="3"/>
      <c r="M9" s="3"/>
      <c r="N9" s="3"/>
      <c r="P9" s="3"/>
      <c r="Q9" s="3"/>
      <c r="R9" s="3"/>
      <c r="S9" s="3"/>
      <c r="T9" s="107"/>
      <c r="U9" s="3"/>
      <c r="W9" s="3">
        <v>65.0</v>
      </c>
      <c r="X9" s="3">
        <v>95.0</v>
      </c>
      <c r="Y9" s="3">
        <v>350.0</v>
      </c>
      <c r="Z9" s="3">
        <f t="shared" si="4"/>
        <v>108.0625</v>
      </c>
      <c r="AA9" s="107">
        <f>Z9*AA2*AB2/500</f>
        <v>92.6744</v>
      </c>
      <c r="AB9" s="3">
        <f t="shared" si="5"/>
        <v>112.136024</v>
      </c>
      <c r="AC9" s="3">
        <f t="shared" si="6"/>
        <v>117742.8252</v>
      </c>
      <c r="AD9" s="3">
        <f t="shared" si="7"/>
        <v>291553.6624</v>
      </c>
      <c r="AE9" s="3">
        <f t="shared" si="8"/>
        <v>577500.5236</v>
      </c>
    </row>
    <row r="10">
      <c r="A10" s="3"/>
      <c r="B10" s="386" t="s">
        <v>318</v>
      </c>
      <c r="C10" s="387"/>
      <c r="D10" s="388"/>
      <c r="E10" s="36">
        <f t="shared" ref="E10:E13" si="9">T10</f>
        <v>0.11115</v>
      </c>
      <c r="F10" s="61">
        <f>E10*F2</f>
        <v>155.61</v>
      </c>
      <c r="G10" s="36"/>
      <c r="H10" s="389">
        <f>F10*H2</f>
        <v>188.2881</v>
      </c>
      <c r="I10" s="390">
        <f>H10/I2</f>
        <v>47.072025</v>
      </c>
      <c r="J10" s="383">
        <f>I10*J2</f>
        <v>47.072025</v>
      </c>
      <c r="K10" s="391">
        <f>J10/K2*1.25</f>
        <v>29.42001563</v>
      </c>
      <c r="L10" s="3">
        <v>0.02783</v>
      </c>
      <c r="M10" s="3">
        <v>0.01739375</v>
      </c>
      <c r="N10" s="3"/>
      <c r="P10" s="3">
        <v>65.0</v>
      </c>
      <c r="Q10" s="3">
        <v>95.0</v>
      </c>
      <c r="R10" s="3">
        <v>90.0</v>
      </c>
      <c r="S10" s="3">
        <f t="shared" ref="S10:S13" si="10">P10*Q10*R10/20000</f>
        <v>27.7875</v>
      </c>
      <c r="T10" s="107">
        <f>S10*T2*U2/500</f>
        <v>0.11115</v>
      </c>
      <c r="U10" s="3">
        <f>T10/2</f>
        <v>0.055575</v>
      </c>
      <c r="W10" s="3">
        <v>65.0</v>
      </c>
      <c r="X10" s="3">
        <v>50.0</v>
      </c>
      <c r="Y10" s="3">
        <v>90.0</v>
      </c>
      <c r="Z10" s="3">
        <f t="shared" si="4"/>
        <v>14.625</v>
      </c>
      <c r="AA10" s="107">
        <f>Z10*AA2*AB2/500*1.21</f>
        <v>15.176304</v>
      </c>
      <c r="AB10" s="3">
        <f t="shared" si="5"/>
        <v>18.36332784</v>
      </c>
      <c r="AC10" s="3">
        <f t="shared" si="6"/>
        <v>19281.49423</v>
      </c>
      <c r="AD10" s="3">
        <f t="shared" si="7"/>
        <v>47744.65238</v>
      </c>
      <c r="AE10" s="3">
        <f t="shared" si="8"/>
        <v>94571.13838</v>
      </c>
    </row>
    <row r="11">
      <c r="A11" s="3"/>
      <c r="B11" s="386" t="s">
        <v>319</v>
      </c>
      <c r="C11" s="387"/>
      <c r="D11" s="388"/>
      <c r="E11" s="36">
        <f t="shared" si="9"/>
        <v>0.142025</v>
      </c>
      <c r="F11" s="61">
        <f>E11*F2</f>
        <v>198.835</v>
      </c>
      <c r="G11" s="36"/>
      <c r="H11" s="389">
        <f>F11*H2</f>
        <v>240.59035</v>
      </c>
      <c r="I11" s="390">
        <f>H11/I2</f>
        <v>60.1475875</v>
      </c>
      <c r="J11" s="383">
        <f>I11*J2</f>
        <v>60.1475875</v>
      </c>
      <c r="K11" s="391">
        <f>J11/K2*1.25</f>
        <v>37.59224219</v>
      </c>
      <c r="L11" s="3"/>
      <c r="M11" s="3"/>
      <c r="N11" s="3"/>
      <c r="P11" s="3">
        <v>65.0</v>
      </c>
      <c r="Q11" s="3">
        <v>95.0</v>
      </c>
      <c r="R11" s="3">
        <v>115.0</v>
      </c>
      <c r="S11" s="3">
        <f t="shared" si="10"/>
        <v>35.50625</v>
      </c>
      <c r="T11" s="107">
        <f>S11*T2*U2/500</f>
        <v>0.142025</v>
      </c>
      <c r="U11" s="3">
        <f t="shared" ref="U11:U13" si="11">T11/4</f>
        <v>0.03550625</v>
      </c>
    </row>
    <row r="12">
      <c r="A12" s="3"/>
      <c r="B12" s="386" t="s">
        <v>320</v>
      </c>
      <c r="C12" s="387"/>
      <c r="D12" s="388"/>
      <c r="E12" s="36">
        <f t="shared" si="9"/>
        <v>0.18525</v>
      </c>
      <c r="F12" s="61">
        <f>E12*F2</f>
        <v>259.35</v>
      </c>
      <c r="G12" s="36"/>
      <c r="H12" s="389">
        <f>F12*H2</f>
        <v>313.8135</v>
      </c>
      <c r="I12" s="390">
        <f>H12/I2</f>
        <v>78.453375</v>
      </c>
      <c r="J12" s="383">
        <f>I12*J2</f>
        <v>78.453375</v>
      </c>
      <c r="K12" s="391">
        <f>J12/K2*1.25</f>
        <v>49.03335938</v>
      </c>
      <c r="L12" s="3"/>
      <c r="M12" s="3"/>
      <c r="N12" s="3"/>
      <c r="P12" s="3">
        <v>65.0</v>
      </c>
      <c r="Q12" s="3">
        <v>95.0</v>
      </c>
      <c r="R12" s="3">
        <v>150.0</v>
      </c>
      <c r="S12" s="3">
        <f t="shared" si="10"/>
        <v>46.3125</v>
      </c>
      <c r="T12" s="107">
        <f>S12*T2*U2/500</f>
        <v>0.18525</v>
      </c>
      <c r="U12" s="3">
        <f t="shared" si="11"/>
        <v>0.0463125</v>
      </c>
    </row>
    <row r="13">
      <c r="A13" s="3"/>
      <c r="B13" s="386" t="s">
        <v>321</v>
      </c>
      <c r="C13" s="387"/>
      <c r="D13" s="388"/>
      <c r="E13" s="36">
        <f t="shared" si="9"/>
        <v>0.2717</v>
      </c>
      <c r="F13" s="61">
        <f t="shared" ref="F13:F14" si="12">E13*F2</f>
        <v>380.38</v>
      </c>
      <c r="G13" s="36"/>
      <c r="H13" s="389">
        <f>F13*H2</f>
        <v>460.2598</v>
      </c>
      <c r="I13" s="390">
        <f t="shared" ref="I13:I14" si="13">H13/I2</f>
        <v>115.06495</v>
      </c>
      <c r="J13" s="383">
        <f>I13*J2</f>
        <v>115.06495</v>
      </c>
      <c r="K13" s="391">
        <f>J13/K2*1.25</f>
        <v>71.91559375</v>
      </c>
      <c r="L13" s="3"/>
      <c r="M13" s="3"/>
      <c r="N13" s="3"/>
      <c r="P13" s="3">
        <v>65.0</v>
      </c>
      <c r="Q13" s="3">
        <v>95.0</v>
      </c>
      <c r="R13" s="3">
        <v>220.0</v>
      </c>
      <c r="S13" s="3">
        <f t="shared" si="10"/>
        <v>67.925</v>
      </c>
      <c r="T13" s="107">
        <f>S13*T2*U2/500</f>
        <v>0.2717</v>
      </c>
      <c r="U13" s="3">
        <f t="shared" si="11"/>
        <v>0.067925</v>
      </c>
    </row>
    <row r="14">
      <c r="A14" s="3"/>
      <c r="B14" s="398"/>
      <c r="C14" s="32"/>
      <c r="D14" s="3"/>
      <c r="E14" s="36"/>
      <c r="F14" s="61">
        <f t="shared" si="12"/>
        <v>0</v>
      </c>
      <c r="G14" s="36"/>
      <c r="H14" s="389"/>
      <c r="I14" s="390">
        <f t="shared" si="13"/>
        <v>0</v>
      </c>
      <c r="J14" s="383"/>
      <c r="K14" s="391"/>
      <c r="L14" s="3"/>
      <c r="M14" s="3"/>
      <c r="N14" s="3"/>
    </row>
    <row r="15">
      <c r="A15" s="3"/>
      <c r="B15" s="399" t="s">
        <v>322</v>
      </c>
      <c r="C15" s="400"/>
      <c r="D15" s="392"/>
      <c r="E15" s="36">
        <f t="shared" ref="E15:E18" si="14">T15</f>
        <v>0.132192</v>
      </c>
      <c r="F15" s="61">
        <f>E15*F2</f>
        <v>185.0688</v>
      </c>
      <c r="G15" s="36"/>
      <c r="H15" s="389">
        <f>F15*H2</f>
        <v>223.933248</v>
      </c>
      <c r="I15" s="390">
        <f>H15/I2</f>
        <v>55.983312</v>
      </c>
      <c r="J15" s="383">
        <f>I15*J2</f>
        <v>55.983312</v>
      </c>
      <c r="K15" s="391">
        <f>J15/K2*1.25</f>
        <v>34.98957</v>
      </c>
      <c r="L15" s="3">
        <f>H15/L2</f>
        <v>74.644416</v>
      </c>
      <c r="M15" s="3"/>
      <c r="N15" s="3"/>
      <c r="P15" s="3">
        <v>72.0</v>
      </c>
      <c r="Q15" s="3">
        <v>102.0</v>
      </c>
      <c r="R15" s="3">
        <v>90.0</v>
      </c>
      <c r="S15" s="3">
        <f t="shared" ref="S15:S18" si="15">P15*Q15*R15/20000</f>
        <v>33.048</v>
      </c>
      <c r="T15" s="107">
        <f>S15*T2*U2/500</f>
        <v>0.132192</v>
      </c>
      <c r="U15" s="3">
        <f t="shared" ref="U15:U18" si="16">T15/4</f>
        <v>0.033048</v>
      </c>
    </row>
    <row r="16">
      <c r="A16" s="3"/>
      <c r="B16" s="394" t="s">
        <v>323</v>
      </c>
      <c r="C16" s="395"/>
      <c r="D16" s="396"/>
      <c r="E16" s="36">
        <f t="shared" si="14"/>
        <v>0.168912</v>
      </c>
      <c r="F16" s="61">
        <f>E16*F2</f>
        <v>236.4768</v>
      </c>
      <c r="G16" s="36"/>
      <c r="H16" s="389">
        <f>F16*H2</f>
        <v>286.136928</v>
      </c>
      <c r="I16" s="390">
        <f>H16/I2</f>
        <v>71.534232</v>
      </c>
      <c r="J16" s="383">
        <f>I16*J2</f>
        <v>71.534232</v>
      </c>
      <c r="K16" s="391">
        <f>J16/K2*1.25</f>
        <v>44.708895</v>
      </c>
      <c r="L16" s="3">
        <f>H16/L2</f>
        <v>95.378976</v>
      </c>
      <c r="M16" s="3"/>
      <c r="N16" s="3"/>
      <c r="P16" s="3">
        <v>72.0</v>
      </c>
      <c r="Q16" s="3">
        <v>102.0</v>
      </c>
      <c r="R16" s="3">
        <v>115.0</v>
      </c>
      <c r="S16" s="3">
        <f t="shared" si="15"/>
        <v>42.228</v>
      </c>
      <c r="T16" s="107">
        <f>S16*T2*U2/500</f>
        <v>0.168912</v>
      </c>
      <c r="U16" s="3">
        <f t="shared" si="16"/>
        <v>0.042228</v>
      </c>
    </row>
    <row r="17">
      <c r="A17" s="3"/>
      <c r="B17" s="394" t="s">
        <v>324</v>
      </c>
      <c r="C17" s="395"/>
      <c r="D17" s="396"/>
      <c r="E17" s="36">
        <f t="shared" si="14"/>
        <v>0.22032</v>
      </c>
      <c r="F17" s="61">
        <f>E17*F2</f>
        <v>308.448</v>
      </c>
      <c r="G17" s="36"/>
      <c r="H17" s="389">
        <f>F17*H2</f>
        <v>373.22208</v>
      </c>
      <c r="I17" s="390">
        <f>H17/I2</f>
        <v>93.30552</v>
      </c>
      <c r="J17" s="383">
        <f>I17*J2</f>
        <v>93.30552</v>
      </c>
      <c r="K17" s="391">
        <f>J17/K2*1.25</f>
        <v>58.31595</v>
      </c>
      <c r="L17" s="3">
        <f>H17/L2</f>
        <v>124.40736</v>
      </c>
      <c r="M17" s="3"/>
      <c r="N17" s="3"/>
      <c r="P17" s="3">
        <v>72.0</v>
      </c>
      <c r="Q17" s="3">
        <v>102.0</v>
      </c>
      <c r="R17" s="3">
        <v>150.0</v>
      </c>
      <c r="S17" s="3">
        <f t="shared" si="15"/>
        <v>55.08</v>
      </c>
      <c r="T17" s="107">
        <f>S17*T2*U2/500</f>
        <v>0.22032</v>
      </c>
      <c r="U17" s="3">
        <f t="shared" si="16"/>
        <v>0.05508</v>
      </c>
    </row>
    <row r="18">
      <c r="A18" s="3"/>
      <c r="B18" s="394" t="s">
        <v>325</v>
      </c>
      <c r="C18" s="395"/>
      <c r="D18" s="396"/>
      <c r="E18" s="36">
        <f t="shared" si="14"/>
        <v>0.323136</v>
      </c>
      <c r="F18" s="61">
        <f>E18*F2</f>
        <v>452.3904</v>
      </c>
      <c r="G18" s="36"/>
      <c r="H18" s="389">
        <f>F18*H2</f>
        <v>547.392384</v>
      </c>
      <c r="I18" s="390">
        <f>H18/I2</f>
        <v>136.848096</v>
      </c>
      <c r="J18" s="383">
        <f>I18*J2</f>
        <v>136.848096</v>
      </c>
      <c r="K18" s="391">
        <f>J18/K2*1.25</f>
        <v>85.53006</v>
      </c>
      <c r="L18" s="3">
        <f>H18/L2</f>
        <v>182.464128</v>
      </c>
      <c r="M18" s="3"/>
      <c r="P18" s="3">
        <v>72.0</v>
      </c>
      <c r="Q18" s="3">
        <v>102.0</v>
      </c>
      <c r="R18" s="3">
        <v>220.0</v>
      </c>
      <c r="S18" s="3">
        <f t="shared" si="15"/>
        <v>80.784</v>
      </c>
      <c r="T18" s="107">
        <f>S18*T2*U2/500</f>
        <v>0.323136</v>
      </c>
      <c r="U18" s="3">
        <f t="shared" si="16"/>
        <v>0.080784</v>
      </c>
    </row>
    <row r="19">
      <c r="A19" s="3"/>
      <c r="B19" s="398"/>
      <c r="C19" s="32"/>
      <c r="D19" s="3"/>
      <c r="E19" s="36"/>
      <c r="F19" s="61">
        <f>E19*F13</f>
        <v>0</v>
      </c>
      <c r="G19" s="36"/>
      <c r="H19" s="389">
        <f>F19*H9</f>
        <v>0</v>
      </c>
      <c r="I19" s="390">
        <f>H19/I2</f>
        <v>0</v>
      </c>
      <c r="J19" s="383">
        <f>I19*J2</f>
        <v>0</v>
      </c>
      <c r="K19" s="391">
        <f>J19/K2*1.25</f>
        <v>0</v>
      </c>
      <c r="L19" s="3"/>
      <c r="M19" s="3"/>
    </row>
    <row r="20">
      <c r="A20" s="3"/>
      <c r="B20" s="386" t="s">
        <v>326</v>
      </c>
      <c r="C20" s="387"/>
      <c r="D20" s="388"/>
      <c r="E20" s="36">
        <f t="shared" ref="E20:E21" si="17">T20</f>
        <v>0.3705</v>
      </c>
      <c r="F20" s="61">
        <f>E20*F2</f>
        <v>518.7</v>
      </c>
      <c r="G20" s="36"/>
      <c r="H20" s="389">
        <f>F20*H2</f>
        <v>627.627</v>
      </c>
      <c r="I20" s="390">
        <f>H20/I2</f>
        <v>156.90675</v>
      </c>
      <c r="J20" s="383">
        <f>I20*J2</f>
        <v>156.90675</v>
      </c>
      <c r="K20" s="391">
        <f>J20/K2*1.25</f>
        <v>98.06671875</v>
      </c>
      <c r="L20" s="3"/>
      <c r="M20" s="3"/>
      <c r="P20" s="3">
        <v>65.0</v>
      </c>
      <c r="Q20" s="3">
        <v>95.0</v>
      </c>
      <c r="R20" s="3">
        <v>300.0</v>
      </c>
      <c r="S20" s="3">
        <f t="shared" ref="S20:S21" si="18">P20*Q20*R20/20000</f>
        <v>92.625</v>
      </c>
      <c r="T20" s="107">
        <f>S20*T2*U2/500</f>
        <v>0.3705</v>
      </c>
      <c r="U20" s="3">
        <f t="shared" ref="U20:U21" si="19">T20/4</f>
        <v>0.092625</v>
      </c>
    </row>
    <row r="21" ht="15.75" customHeight="1">
      <c r="A21" s="3"/>
      <c r="B21" s="394" t="s">
        <v>327</v>
      </c>
      <c r="C21" s="395"/>
      <c r="D21" s="396"/>
      <c r="E21" s="36">
        <f t="shared" si="17"/>
        <v>0.44064</v>
      </c>
      <c r="F21" s="61">
        <f>E21*F2</f>
        <v>616.896</v>
      </c>
      <c r="G21" s="36"/>
      <c r="H21" s="389">
        <f>F21*H2</f>
        <v>746.44416</v>
      </c>
      <c r="I21" s="390">
        <f>H21/I2</f>
        <v>186.61104</v>
      </c>
      <c r="J21" s="383">
        <f>I21*J2</f>
        <v>186.61104</v>
      </c>
      <c r="K21" s="391">
        <f>J21/K2*1.25</f>
        <v>116.6319</v>
      </c>
      <c r="L21" s="3">
        <f>H21/L2</f>
        <v>248.81472</v>
      </c>
      <c r="M21" s="3"/>
      <c r="N21" s="3"/>
      <c r="P21" s="3">
        <v>72.0</v>
      </c>
      <c r="Q21" s="3">
        <v>102.0</v>
      </c>
      <c r="R21" s="3">
        <v>300.0</v>
      </c>
      <c r="S21" s="3">
        <f t="shared" si="18"/>
        <v>110.16</v>
      </c>
      <c r="T21" s="107">
        <f>S21*T2*U2/500</f>
        <v>0.44064</v>
      </c>
      <c r="U21" s="3">
        <f t="shared" si="19"/>
        <v>0.11016</v>
      </c>
    </row>
    <row r="22" ht="15.75" customHeight="1">
      <c r="A22" s="3"/>
      <c r="B22" s="398"/>
      <c r="C22" s="32"/>
      <c r="D22" s="3"/>
      <c r="E22" s="36"/>
      <c r="F22" s="61">
        <f>E22*F17</f>
        <v>0</v>
      </c>
      <c r="G22" s="36"/>
      <c r="H22" s="389">
        <f>F22*H12</f>
        <v>0</v>
      </c>
      <c r="I22" s="390">
        <f>H22/I2</f>
        <v>0</v>
      </c>
      <c r="J22" s="383">
        <f>I22*J2</f>
        <v>0</v>
      </c>
      <c r="K22" s="391">
        <f>J22/K2*1.25</f>
        <v>0</v>
      </c>
      <c r="L22" s="3"/>
      <c r="M22" s="3"/>
      <c r="N22" s="3"/>
    </row>
    <row r="23" ht="15.75" customHeight="1">
      <c r="A23" s="3"/>
      <c r="B23" s="386" t="s">
        <v>328</v>
      </c>
      <c r="C23" s="387"/>
      <c r="D23" s="388"/>
      <c r="E23" s="36">
        <f t="shared" ref="E23:E24" si="20">T23</f>
        <v>0.43225</v>
      </c>
      <c r="F23" s="61">
        <f>E23*F2</f>
        <v>605.15</v>
      </c>
      <c r="G23" s="36"/>
      <c r="H23" s="389">
        <f>F23*H2</f>
        <v>732.2315</v>
      </c>
      <c r="I23" s="390">
        <f>H23/I2</f>
        <v>183.057875</v>
      </c>
      <c r="J23" s="383">
        <f>I23*J2</f>
        <v>183.057875</v>
      </c>
      <c r="K23" s="391">
        <f>J23/K2*1.25</f>
        <v>114.4111719</v>
      </c>
      <c r="L23" s="3"/>
      <c r="M23" s="3"/>
      <c r="N23" s="3"/>
      <c r="P23" s="3">
        <v>65.0</v>
      </c>
      <c r="Q23" s="3">
        <v>95.0</v>
      </c>
      <c r="R23" s="3">
        <v>350.0</v>
      </c>
      <c r="S23" s="3">
        <f t="shared" ref="S23:S24" si="21">P23*Q23*R23/20000</f>
        <v>108.0625</v>
      </c>
      <c r="T23" s="107">
        <f>S23*T2*U2/500</f>
        <v>0.43225</v>
      </c>
      <c r="U23" s="3">
        <f t="shared" ref="U23:U24" si="22">T23/4</f>
        <v>0.1080625</v>
      </c>
    </row>
    <row r="24" ht="15.75" customHeight="1">
      <c r="A24" s="3"/>
      <c r="B24" s="394" t="s">
        <v>329</v>
      </c>
      <c r="C24" s="395"/>
      <c r="D24" s="396"/>
      <c r="E24" s="36">
        <f t="shared" si="20"/>
        <v>0.51408</v>
      </c>
      <c r="F24" s="61">
        <f>E24*F2</f>
        <v>719.712</v>
      </c>
      <c r="G24" s="36"/>
      <c r="H24" s="389">
        <f>F24*H2</f>
        <v>870.85152</v>
      </c>
      <c r="I24" s="390">
        <f>H24/I2</f>
        <v>217.71288</v>
      </c>
      <c r="J24" s="383">
        <f>I24*J2</f>
        <v>217.71288</v>
      </c>
      <c r="K24" s="391">
        <f>J24/K2*1.25</f>
        <v>136.07055</v>
      </c>
      <c r="L24" s="3">
        <f>H24/L2</f>
        <v>290.28384</v>
      </c>
      <c r="M24" s="3"/>
      <c r="N24" s="3"/>
      <c r="P24" s="3">
        <v>72.0</v>
      </c>
      <c r="Q24" s="3">
        <v>102.0</v>
      </c>
      <c r="R24" s="3">
        <v>350.0</v>
      </c>
      <c r="S24" s="3">
        <f t="shared" si="21"/>
        <v>128.52</v>
      </c>
      <c r="T24" s="107">
        <f>S24*T2*U2/500</f>
        <v>0.51408</v>
      </c>
      <c r="U24" s="3">
        <f t="shared" si="22"/>
        <v>0.12852</v>
      </c>
    </row>
    <row r="25" ht="15.75" customHeight="1">
      <c r="A25" s="3"/>
      <c r="B25" s="398"/>
      <c r="C25" s="32"/>
      <c r="D25" s="3" t="s">
        <v>330</v>
      </c>
      <c r="E25" s="36">
        <v>0.3925</v>
      </c>
      <c r="F25" s="61">
        <f>E25*F2</f>
        <v>549.5</v>
      </c>
      <c r="G25" s="36"/>
      <c r="H25" s="389">
        <f>F25*H2</f>
        <v>664.895</v>
      </c>
      <c r="I25" s="390">
        <f>H25/I2</f>
        <v>166.22375</v>
      </c>
      <c r="J25" s="383">
        <f>I25*J2</f>
        <v>166.22375</v>
      </c>
      <c r="K25" s="391">
        <f>J25/K2*1.25</f>
        <v>103.8898438</v>
      </c>
      <c r="L25" s="3"/>
      <c r="M25" s="3"/>
      <c r="N25" s="3"/>
    </row>
    <row r="26" ht="15.75" customHeight="1">
      <c r="A26" s="3"/>
      <c r="B26" s="386" t="s">
        <v>331</v>
      </c>
      <c r="C26" s="387"/>
      <c r="D26" s="388"/>
      <c r="E26" s="36">
        <f>T26</f>
        <v>0.43225</v>
      </c>
      <c r="F26" s="61">
        <f>E26*F2</f>
        <v>605.15</v>
      </c>
      <c r="G26" s="36"/>
      <c r="H26" s="389">
        <f>F26*H2</f>
        <v>732.2315</v>
      </c>
      <c r="I26" s="390">
        <f>H26/I2</f>
        <v>183.057875</v>
      </c>
      <c r="J26" s="383">
        <f>I26*J2</f>
        <v>183.057875</v>
      </c>
      <c r="K26" s="391">
        <f>J26/K2*1.25</f>
        <v>114.4111719</v>
      </c>
      <c r="L26" s="3"/>
      <c r="M26" s="3"/>
      <c r="N26" s="3"/>
      <c r="P26" s="3">
        <v>65.0</v>
      </c>
      <c r="Q26" s="3">
        <v>95.0</v>
      </c>
      <c r="R26" s="3">
        <v>350.0</v>
      </c>
      <c r="S26" s="3">
        <f t="shared" ref="S26:S27" si="23">P26*Q26*R26/20000</f>
        <v>108.0625</v>
      </c>
      <c r="T26" s="107">
        <f>S26*T2*U2/500</f>
        <v>0.43225</v>
      </c>
      <c r="U26" s="3">
        <f t="shared" ref="U26:U27" si="24">T26/4</f>
        <v>0.1080625</v>
      </c>
      <c r="W26" s="3"/>
      <c r="X26" s="3">
        <v>6.0</v>
      </c>
    </row>
    <row r="27" ht="15.75" customHeight="1">
      <c r="A27" s="3"/>
      <c r="B27" s="386" t="s">
        <v>332</v>
      </c>
      <c r="C27" s="387"/>
      <c r="D27" s="388"/>
      <c r="E27" s="36">
        <v>0.8</v>
      </c>
      <c r="F27" s="61">
        <f>E27*F2</f>
        <v>1120</v>
      </c>
      <c r="G27" s="36"/>
      <c r="H27" s="389">
        <f>F27*H2</f>
        <v>1355.2</v>
      </c>
      <c r="I27" s="390">
        <f>H27/I2</f>
        <v>338.8</v>
      </c>
      <c r="J27" s="383">
        <f>I27*J2</f>
        <v>338.8</v>
      </c>
      <c r="K27" s="391">
        <f>J27/K2*1.25</f>
        <v>211.75</v>
      </c>
      <c r="L27" s="3"/>
      <c r="M27" s="3"/>
      <c r="N27" s="3"/>
      <c r="P27" s="3">
        <v>72.0</v>
      </c>
      <c r="Q27" s="3">
        <v>102.0</v>
      </c>
      <c r="R27" s="3">
        <v>350.0</v>
      </c>
      <c r="S27" s="3">
        <f t="shared" si="23"/>
        <v>128.52</v>
      </c>
      <c r="T27" s="107">
        <f>S27*T2*U2/500</f>
        <v>0.51408</v>
      </c>
      <c r="U27" s="3">
        <f t="shared" si="24"/>
        <v>0.12852</v>
      </c>
      <c r="W27" s="3"/>
      <c r="X27" s="3" t="s">
        <v>333</v>
      </c>
      <c r="Y27" s="3" t="s">
        <v>334</v>
      </c>
    </row>
    <row r="28" ht="15.75" customHeight="1">
      <c r="A28" s="3"/>
      <c r="B28" s="398"/>
      <c r="C28" s="32"/>
      <c r="D28" s="3"/>
      <c r="E28" s="36"/>
      <c r="F28" s="61">
        <f>E28*F23</f>
        <v>0</v>
      </c>
      <c r="G28" s="36"/>
      <c r="H28" s="389">
        <f>F28*H19</f>
        <v>0</v>
      </c>
      <c r="I28" s="390">
        <f>H28/I2</f>
        <v>0</v>
      </c>
      <c r="J28" s="383">
        <f>I28*J12</f>
        <v>0</v>
      </c>
      <c r="K28" s="391">
        <f>J7/K2*1.25</f>
        <v>34.98957</v>
      </c>
      <c r="L28" s="3"/>
      <c r="M28" s="3"/>
      <c r="N28" s="3"/>
      <c r="W28" s="3" t="s">
        <v>335</v>
      </c>
      <c r="X28" s="3">
        <f>(J20/X26*2)*1.5</f>
        <v>78.453375</v>
      </c>
      <c r="Y28" s="3">
        <f>X28*2</f>
        <v>156.90675</v>
      </c>
    </row>
    <row r="29" ht="15.75" customHeight="1">
      <c r="A29" s="3"/>
      <c r="B29" s="386" t="s">
        <v>336</v>
      </c>
      <c r="C29" s="387"/>
      <c r="D29" s="388"/>
      <c r="E29" s="36">
        <f>T29</f>
        <v>0.43316</v>
      </c>
      <c r="F29" s="61">
        <f>E29*F2</f>
        <v>606.424</v>
      </c>
      <c r="G29" s="36"/>
      <c r="H29" s="389">
        <f>F29*H2</f>
        <v>733.77304</v>
      </c>
      <c r="I29" s="390">
        <f>H29/I2</f>
        <v>183.44326</v>
      </c>
      <c r="J29" s="383">
        <f t="shared" ref="J29:J30" si="25">I29*J2</f>
        <v>183.44326</v>
      </c>
      <c r="K29" s="391">
        <f t="shared" ref="K29:K30" si="26">J29/K2*1.25</f>
        <v>114.6520375</v>
      </c>
      <c r="L29" s="3"/>
      <c r="M29" s="3"/>
      <c r="N29" s="3"/>
      <c r="P29" s="3">
        <v>68.0</v>
      </c>
      <c r="Q29" s="3">
        <v>98.0</v>
      </c>
      <c r="R29" s="3">
        <v>325.0</v>
      </c>
      <c r="S29" s="3">
        <f>P29*Q29*R29/20000</f>
        <v>108.29</v>
      </c>
      <c r="T29" s="107">
        <f>S29*T2*U2/500</f>
        <v>0.43316</v>
      </c>
      <c r="U29" s="3">
        <f>T29/4</f>
        <v>0.10829</v>
      </c>
    </row>
    <row r="30" ht="15.75" customHeight="1">
      <c r="A30" s="3"/>
      <c r="B30" s="398"/>
      <c r="C30" s="32"/>
      <c r="D30" s="3"/>
      <c r="E30" s="3"/>
      <c r="F30" s="61">
        <f>E30*F25</f>
        <v>0</v>
      </c>
      <c r="G30" s="36"/>
      <c r="H30" s="389">
        <f>F30*H21</f>
        <v>0</v>
      </c>
      <c r="I30" s="390">
        <f>H30/I2</f>
        <v>0</v>
      </c>
      <c r="J30" s="383">
        <f t="shared" si="25"/>
        <v>0</v>
      </c>
      <c r="K30" s="391">
        <f t="shared" si="26"/>
        <v>0</v>
      </c>
      <c r="L30" s="3"/>
      <c r="M30" s="3"/>
      <c r="N30" s="3"/>
      <c r="T30" s="3">
        <v>10.0</v>
      </c>
      <c r="U30" s="3">
        <v>1.0</v>
      </c>
    </row>
    <row r="31" ht="15.75" customHeight="1">
      <c r="A31" s="3"/>
      <c r="B31" s="401" t="s">
        <v>337</v>
      </c>
      <c r="C31" s="402"/>
      <c r="D31" s="403"/>
      <c r="E31" s="404">
        <v>0.5</v>
      </c>
      <c r="F31" s="404">
        <f>E31*F2</f>
        <v>700</v>
      </c>
      <c r="G31" s="404"/>
      <c r="H31" s="405">
        <f>F31*H2</f>
        <v>847</v>
      </c>
      <c r="I31" s="406">
        <f>H31/K2</f>
        <v>423.5</v>
      </c>
      <c r="J31" s="383">
        <f>I31*J2</f>
        <v>423.5</v>
      </c>
      <c r="K31" s="391">
        <f>J31/K2*1.25</f>
        <v>264.6875</v>
      </c>
      <c r="L31" s="3"/>
      <c r="M31" s="3"/>
      <c r="N31" s="3"/>
      <c r="P31" s="3">
        <v>65.0</v>
      </c>
      <c r="Q31" s="3">
        <v>50.0</v>
      </c>
      <c r="R31" s="3">
        <v>90.0</v>
      </c>
      <c r="S31" s="3">
        <f t="shared" ref="S31:S32" si="27">P31*Q31*R31/20000</f>
        <v>14.625</v>
      </c>
      <c r="T31" s="107">
        <f>S31*T30*U30/500</f>
        <v>0.2925</v>
      </c>
      <c r="U31" s="3">
        <f t="shared" ref="U31:U32" si="28">T31/4</f>
        <v>0.073125</v>
      </c>
    </row>
    <row r="32" ht="15.75" customHeight="1">
      <c r="A32" s="3"/>
      <c r="B32" s="407" t="s">
        <v>337</v>
      </c>
      <c r="C32" s="408"/>
      <c r="D32" s="409"/>
      <c r="E32" s="404">
        <v>0.5</v>
      </c>
      <c r="F32" s="404">
        <f>E32*F2</f>
        <v>700</v>
      </c>
      <c r="G32" s="404"/>
      <c r="H32" s="405">
        <f>F32*H2</f>
        <v>847</v>
      </c>
      <c r="I32" s="406">
        <f>H32/K2</f>
        <v>423.5</v>
      </c>
      <c r="J32" s="383">
        <f>I32*J2</f>
        <v>423.5</v>
      </c>
      <c r="K32" s="391">
        <f>J32/K2*1.25</f>
        <v>264.6875</v>
      </c>
      <c r="L32" s="3"/>
      <c r="M32" s="3"/>
      <c r="N32" s="3"/>
      <c r="P32" s="3">
        <v>65.0</v>
      </c>
      <c r="Q32" s="3">
        <v>50.0</v>
      </c>
      <c r="R32" s="3">
        <v>90.0</v>
      </c>
      <c r="S32" s="3">
        <f t="shared" si="27"/>
        <v>14.625</v>
      </c>
      <c r="T32" s="107">
        <f>S32*T30*U30/500</f>
        <v>0.2925</v>
      </c>
      <c r="U32" s="3">
        <f t="shared" si="28"/>
        <v>0.073125</v>
      </c>
    </row>
    <row r="33" ht="15.75" customHeight="1">
      <c r="A33" s="3"/>
      <c r="B33" s="410" t="s">
        <v>338</v>
      </c>
      <c r="C33" s="411"/>
      <c r="D33" s="412"/>
      <c r="E33" s="36">
        <v>0.9</v>
      </c>
      <c r="F33" s="61">
        <f t="shared" ref="F33:F35" si="29">E33*F2</f>
        <v>1260</v>
      </c>
      <c r="G33" s="36"/>
      <c r="H33" s="389">
        <f t="shared" ref="H33:H35" si="30">F33*H2</f>
        <v>1524.6</v>
      </c>
      <c r="I33" s="390">
        <f t="shared" ref="I33:I35" si="31">H33/I2</f>
        <v>381.15</v>
      </c>
      <c r="J33" s="383">
        <f t="shared" ref="J33:J35" si="32">I33*J2</f>
        <v>381.15</v>
      </c>
      <c r="K33" s="391">
        <f t="shared" ref="K33:K35" si="33">J33/K2*1.25</f>
        <v>238.21875</v>
      </c>
      <c r="L33" s="3">
        <f>H33/L2</f>
        <v>508.2</v>
      </c>
      <c r="M33" s="3"/>
      <c r="N33" s="3"/>
    </row>
    <row r="34" ht="15.75" customHeight="1">
      <c r="A34" s="3"/>
      <c r="B34" s="3"/>
      <c r="C34" s="32"/>
      <c r="D34" s="3"/>
      <c r="E34" s="3"/>
      <c r="F34" s="61">
        <f t="shared" si="29"/>
        <v>0</v>
      </c>
      <c r="G34" s="3"/>
      <c r="H34" s="389">
        <f t="shared" si="30"/>
        <v>0</v>
      </c>
      <c r="I34" s="390">
        <f t="shared" si="31"/>
        <v>0</v>
      </c>
      <c r="J34" s="383">
        <f t="shared" si="32"/>
        <v>0</v>
      </c>
      <c r="K34" s="391">
        <f t="shared" si="33"/>
        <v>0</v>
      </c>
      <c r="L34" s="3"/>
      <c r="M34" s="3"/>
      <c r="N34" s="3"/>
    </row>
    <row r="35" ht="15.75" customHeight="1">
      <c r="A35" s="3"/>
      <c r="B35" s="3"/>
      <c r="C35" s="32"/>
      <c r="D35" s="3"/>
      <c r="E35" s="3"/>
      <c r="F35" s="61">
        <f t="shared" si="29"/>
        <v>0</v>
      </c>
      <c r="G35" s="3"/>
      <c r="H35" s="389">
        <f t="shared" si="30"/>
        <v>0</v>
      </c>
      <c r="I35" s="390">
        <f t="shared" si="31"/>
        <v>0</v>
      </c>
      <c r="J35" s="383">
        <f t="shared" si="32"/>
        <v>0</v>
      </c>
      <c r="K35" s="391">
        <f t="shared" si="33"/>
        <v>0</v>
      </c>
      <c r="L35" s="3"/>
      <c r="M35" s="3"/>
      <c r="N35" s="3"/>
    </row>
    <row r="36" ht="15.75" customHeight="1">
      <c r="A36" s="3"/>
      <c r="B36" s="108" t="s">
        <v>339</v>
      </c>
      <c r="C36" s="413"/>
      <c r="D36" s="108" t="s">
        <v>340</v>
      </c>
      <c r="E36" s="108">
        <v>1.4</v>
      </c>
      <c r="F36" s="61">
        <v>1.3</v>
      </c>
      <c r="G36" s="108"/>
      <c r="H36" s="389">
        <f>F36*H2</f>
        <v>1.573</v>
      </c>
      <c r="I36" s="406">
        <f>H36/K2</f>
        <v>0.7865</v>
      </c>
      <c r="J36" s="383">
        <f>I36*J2</f>
        <v>0.7865</v>
      </c>
      <c r="K36" s="391">
        <f>J36/K2*1.25</f>
        <v>0.4915625</v>
      </c>
      <c r="L36" s="3"/>
      <c r="M36" s="3"/>
      <c r="N36" s="3"/>
      <c r="P36" s="3">
        <v>1.2</v>
      </c>
      <c r="Q36" s="3" t="s">
        <v>341</v>
      </c>
      <c r="R36" s="3" t="s">
        <v>65</v>
      </c>
      <c r="S36" s="3"/>
      <c r="T36" s="3" t="s">
        <v>341</v>
      </c>
      <c r="U36" s="3" t="s">
        <v>65</v>
      </c>
    </row>
    <row r="37" ht="15.75" customHeight="1">
      <c r="A37" s="3"/>
      <c r="B37" s="3" t="s">
        <v>342</v>
      </c>
      <c r="C37" s="32"/>
      <c r="D37" s="3"/>
      <c r="E37" s="3"/>
      <c r="F37" s="3"/>
      <c r="G37" s="3"/>
      <c r="H37" s="3"/>
      <c r="I37" s="276"/>
      <c r="J37" s="414"/>
      <c r="K37" s="276"/>
      <c r="L37" s="3"/>
      <c r="M37" s="3"/>
      <c r="N37" s="3"/>
      <c r="O37" s="3"/>
      <c r="P37" s="3" t="s">
        <v>343</v>
      </c>
      <c r="Q37" s="3">
        <v>800.0</v>
      </c>
      <c r="R37" s="3">
        <v>1000.0</v>
      </c>
      <c r="S37" s="3"/>
      <c r="T37" s="3"/>
      <c r="U37" s="3"/>
      <c r="V37" s="3"/>
      <c r="W37" s="20"/>
    </row>
    <row r="38" ht="15.75" customHeight="1">
      <c r="A38" s="3"/>
      <c r="B38" s="3"/>
      <c r="C38" s="32"/>
      <c r="D38" s="3"/>
      <c r="E38" s="3"/>
      <c r="F38" s="3"/>
      <c r="G38" s="3"/>
      <c r="H38" s="3"/>
      <c r="I38" s="276"/>
      <c r="J38" s="414"/>
      <c r="K38" s="276"/>
      <c r="L38" s="3"/>
      <c r="M38" s="3"/>
      <c r="N38" s="3"/>
      <c r="O38" s="3"/>
      <c r="P38" s="3" t="s">
        <v>344</v>
      </c>
      <c r="Q38" s="3">
        <v>1000.0</v>
      </c>
      <c r="R38" s="3">
        <v>1400.0</v>
      </c>
      <c r="S38" s="3"/>
      <c r="T38" s="3"/>
      <c r="U38" s="3"/>
      <c r="V38" s="3"/>
      <c r="W38" s="20"/>
    </row>
    <row r="39" ht="15.75" customHeight="1">
      <c r="A39" s="3"/>
      <c r="B39" s="3"/>
      <c r="C39" s="32"/>
      <c r="D39" s="3"/>
      <c r="E39" s="3"/>
      <c r="F39" s="3">
        <v>295.0</v>
      </c>
      <c r="G39" s="3"/>
      <c r="H39" s="3"/>
      <c r="I39" s="276"/>
      <c r="J39" s="414"/>
      <c r="K39" s="276"/>
      <c r="L39" s="3"/>
      <c r="M39" s="3"/>
      <c r="N39" s="3"/>
      <c r="O39" s="3"/>
      <c r="P39" s="3" t="s">
        <v>345</v>
      </c>
      <c r="Q39" s="3">
        <v>1800.0</v>
      </c>
      <c r="R39" s="3">
        <v>2400.0</v>
      </c>
      <c r="S39" s="3"/>
      <c r="T39" s="3"/>
      <c r="U39" s="3"/>
      <c r="V39" s="3"/>
      <c r="W39" s="20"/>
    </row>
    <row r="40" ht="15.75" customHeight="1">
      <c r="A40" s="3"/>
      <c r="B40" s="3" t="s">
        <v>346</v>
      </c>
      <c r="C40" s="32"/>
      <c r="D40" s="3" t="s">
        <v>347</v>
      </c>
      <c r="E40" s="3" t="s">
        <v>348</v>
      </c>
      <c r="F40" s="3"/>
      <c r="G40" s="3"/>
      <c r="H40" s="3"/>
      <c r="I40" s="276"/>
      <c r="J40" s="414"/>
      <c r="K40" s="41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20"/>
    </row>
    <row r="41" ht="15.75" customHeight="1">
      <c r="A41" s="3"/>
      <c r="B41" s="3" t="s">
        <v>349</v>
      </c>
      <c r="C41" s="32"/>
      <c r="D41" s="3" t="s">
        <v>347</v>
      </c>
      <c r="E41" s="3"/>
      <c r="F41" s="3"/>
      <c r="G41" s="3"/>
      <c r="H41" s="3"/>
      <c r="I41" s="276"/>
      <c r="J41" s="414"/>
      <c r="K41" s="276"/>
      <c r="L41" s="3"/>
      <c r="M41" s="3"/>
      <c r="N41" s="3"/>
      <c r="O41" s="3"/>
      <c r="P41" s="3"/>
      <c r="Q41" s="3" t="s">
        <v>10</v>
      </c>
      <c r="R41" s="416" t="s">
        <v>350</v>
      </c>
      <c r="S41" s="3"/>
      <c r="T41" s="3"/>
      <c r="U41" s="3"/>
      <c r="V41" s="3"/>
      <c r="W41" s="20"/>
    </row>
    <row r="42" ht="15.75" customHeight="1">
      <c r="A42" s="3"/>
      <c r="B42" s="3" t="s">
        <v>351</v>
      </c>
      <c r="C42" s="32"/>
      <c r="D42" s="3" t="s">
        <v>347</v>
      </c>
      <c r="E42" s="3"/>
      <c r="F42" s="3"/>
      <c r="G42" s="3"/>
      <c r="H42" s="3"/>
      <c r="I42" s="276"/>
      <c r="J42" s="414"/>
      <c r="K42" s="276"/>
      <c r="L42" s="3" t="s">
        <v>352</v>
      </c>
      <c r="M42" s="3"/>
      <c r="N42" s="3">
        <v>4000.0</v>
      </c>
      <c r="O42" s="3" t="s">
        <v>353</v>
      </c>
      <c r="P42" s="3" t="s">
        <v>65</v>
      </c>
      <c r="Q42" s="3"/>
      <c r="R42" s="3"/>
      <c r="S42" s="3"/>
      <c r="T42" s="3"/>
      <c r="U42" s="3"/>
      <c r="V42" s="3"/>
      <c r="W42" s="20"/>
    </row>
    <row r="43" ht="15.75" customHeight="1">
      <c r="A43" s="3"/>
      <c r="B43" s="3"/>
      <c r="C43" s="32"/>
      <c r="D43" s="3"/>
      <c r="E43" s="3"/>
      <c r="F43" s="3"/>
      <c r="G43" s="3"/>
      <c r="H43" s="3"/>
      <c r="I43" s="276"/>
      <c r="J43" s="414"/>
      <c r="K43" s="276"/>
      <c r="L43" s="3"/>
      <c r="M43" s="3" t="s">
        <v>354</v>
      </c>
      <c r="N43" s="3">
        <v>1500.0</v>
      </c>
      <c r="O43" s="3"/>
      <c r="P43" s="3" t="s">
        <v>355</v>
      </c>
      <c r="Q43" s="3">
        <f>R37*4+R38+R39</f>
        <v>7800</v>
      </c>
      <c r="R43" s="3">
        <f>R37*8+R38*2+R39*2</f>
        <v>15600</v>
      </c>
      <c r="S43" s="3"/>
      <c r="T43" s="3"/>
      <c r="U43" s="3"/>
      <c r="V43" s="3"/>
      <c r="W43" s="20"/>
    </row>
    <row r="44" ht="15.75" customHeight="1">
      <c r="A44" s="3"/>
      <c r="B44" s="3"/>
      <c r="C44" s="32"/>
      <c r="D44" s="3"/>
      <c r="E44" s="3"/>
      <c r="F44" s="3"/>
      <c r="G44" s="3"/>
      <c r="H44" s="3"/>
      <c r="I44" s="276"/>
      <c r="J44" s="414"/>
      <c r="K44" s="276"/>
      <c r="L44" s="3"/>
      <c r="M44" s="3" t="s">
        <v>356</v>
      </c>
      <c r="N44" s="3">
        <v>600.0</v>
      </c>
      <c r="O44" s="3"/>
      <c r="P44" s="3" t="s">
        <v>357</v>
      </c>
      <c r="Q44" s="3">
        <f>R37*4+R38*3+R39</f>
        <v>10600</v>
      </c>
      <c r="R44" s="3">
        <f>R37*8+R38*6+R39*2</f>
        <v>21200</v>
      </c>
      <c r="S44" s="3"/>
      <c r="T44" s="3"/>
      <c r="U44" s="3" t="s">
        <v>358</v>
      </c>
      <c r="V44" s="3"/>
      <c r="W44" s="20"/>
    </row>
    <row r="45" ht="15.75" customHeight="1">
      <c r="A45" s="3"/>
      <c r="B45" s="3"/>
      <c r="C45" s="32"/>
      <c r="D45" s="3"/>
      <c r="E45" s="3"/>
      <c r="F45" s="3"/>
      <c r="G45" s="3"/>
      <c r="H45" s="3"/>
      <c r="I45" s="276"/>
      <c r="J45" s="414"/>
      <c r="K45" s="276"/>
      <c r="L45" s="3"/>
      <c r="M45" s="3" t="s">
        <v>359</v>
      </c>
      <c r="N45" s="3">
        <v>1600.0</v>
      </c>
      <c r="O45" s="3"/>
      <c r="P45" s="3" t="s">
        <v>360</v>
      </c>
      <c r="Q45" s="3">
        <f>R37*4+R38*5+R39</f>
        <v>13400</v>
      </c>
      <c r="R45" s="3">
        <f>R37*8+R38*10+R39*2</f>
        <v>26800</v>
      </c>
      <c r="S45" s="3"/>
      <c r="T45" s="3"/>
      <c r="U45" s="3" t="s">
        <v>361</v>
      </c>
      <c r="V45" s="3">
        <v>92785.0</v>
      </c>
      <c r="W45" s="20"/>
    </row>
    <row r="46" ht="15.75" customHeight="1">
      <c r="A46" s="3"/>
      <c r="B46" s="3">
        <v>1.121051052E9</v>
      </c>
      <c r="C46" s="417" t="s">
        <v>362</v>
      </c>
      <c r="D46" s="3"/>
      <c r="E46" s="3"/>
      <c r="F46" s="3"/>
      <c r="G46" s="3"/>
      <c r="H46" s="3"/>
      <c r="I46" s="276"/>
      <c r="J46" s="414"/>
      <c r="K46" s="276"/>
      <c r="L46" s="3"/>
      <c r="M46" s="3" t="s">
        <v>363</v>
      </c>
      <c r="N46" s="3">
        <v>3.7</v>
      </c>
      <c r="O46" s="3"/>
      <c r="P46" s="3"/>
      <c r="Q46" s="3"/>
      <c r="R46" s="3"/>
      <c r="S46" s="3"/>
      <c r="T46" s="3"/>
      <c r="U46" s="3" t="s">
        <v>364</v>
      </c>
      <c r="V46" s="3">
        <v>50880.0</v>
      </c>
      <c r="W46" s="20"/>
    </row>
    <row r="47" ht="15.75" customHeight="1">
      <c r="A47" s="3"/>
      <c r="B47" s="3" t="s">
        <v>365</v>
      </c>
      <c r="C47" s="32"/>
      <c r="D47" s="3"/>
      <c r="E47" s="3">
        <v>28.0</v>
      </c>
      <c r="F47" s="3">
        <f>E47*F2</f>
        <v>39200</v>
      </c>
      <c r="G47" s="3"/>
      <c r="H47" s="3">
        <f>F47*H2</f>
        <v>47432</v>
      </c>
      <c r="I47" s="276">
        <f>H47/M2*1.5</f>
        <v>71.148</v>
      </c>
      <c r="J47" s="414" t="s">
        <v>366</v>
      </c>
      <c r="K47" s="276"/>
      <c r="L47" s="3"/>
      <c r="M47" s="3"/>
      <c r="N47" s="3"/>
      <c r="O47" s="3"/>
      <c r="P47" s="3"/>
      <c r="Q47" s="3" t="s">
        <v>341</v>
      </c>
      <c r="R47" s="3" t="s">
        <v>65</v>
      </c>
      <c r="S47" s="3"/>
      <c r="T47" s="3"/>
      <c r="U47" s="3" t="s">
        <v>367</v>
      </c>
      <c r="V47" s="3"/>
      <c r="W47" s="20"/>
    </row>
    <row r="48" ht="15.75" customHeight="1">
      <c r="A48" s="3"/>
      <c r="B48" s="3" t="s">
        <v>368</v>
      </c>
      <c r="C48" s="32" t="s">
        <v>369</v>
      </c>
      <c r="D48" s="3">
        <v>62110.0</v>
      </c>
      <c r="E48" s="3">
        <v>3000.0</v>
      </c>
      <c r="F48" s="107">
        <f>D48/E48</f>
        <v>20.70333333</v>
      </c>
      <c r="G48" s="3">
        <f>F48*48</f>
        <v>993.76</v>
      </c>
      <c r="H48" s="276">
        <f>G48</f>
        <v>993.76</v>
      </c>
      <c r="J48" s="414" t="s">
        <v>370</v>
      </c>
      <c r="K48" s="276"/>
      <c r="L48" s="3"/>
      <c r="M48" s="3"/>
      <c r="N48" s="3"/>
      <c r="O48" s="3"/>
      <c r="P48" s="3" t="s">
        <v>343</v>
      </c>
      <c r="Q48" s="3">
        <f t="shared" ref="Q48:R48" si="34">+Q37*$P$36</f>
        <v>960</v>
      </c>
      <c r="R48" s="3">
        <f t="shared" si="34"/>
        <v>1200</v>
      </c>
      <c r="S48" s="3"/>
      <c r="T48" s="3"/>
      <c r="U48" s="3"/>
      <c r="V48" s="3"/>
      <c r="W48" s="20"/>
    </row>
    <row r="49" ht="15.75" customHeight="1">
      <c r="A49" s="3"/>
      <c r="B49" s="3" t="s">
        <v>371</v>
      </c>
      <c r="F49" s="276">
        <v>0.0477419</v>
      </c>
      <c r="I49" s="3">
        <f>F49*F2</f>
        <v>66.83866</v>
      </c>
      <c r="J49" s="276">
        <f>I47+H48+I49</f>
        <v>1131.74666</v>
      </c>
      <c r="L49" s="3"/>
      <c r="M49" s="3"/>
      <c r="N49" s="3"/>
      <c r="O49" s="3"/>
      <c r="P49" s="3" t="s">
        <v>344</v>
      </c>
      <c r="Q49" s="3">
        <f t="shared" ref="Q49:R49" si="35">+Q38*$P$36</f>
        <v>1200</v>
      </c>
      <c r="R49" s="3">
        <f t="shared" si="35"/>
        <v>1680</v>
      </c>
      <c r="S49" s="3"/>
      <c r="T49" s="3"/>
      <c r="U49" s="3"/>
      <c r="V49" s="3"/>
      <c r="W49" s="20"/>
    </row>
    <row r="50" ht="15.75" customHeight="1">
      <c r="A50" s="3" t="s">
        <v>372</v>
      </c>
      <c r="B50" s="3" t="s">
        <v>373</v>
      </c>
      <c r="C50" s="32" t="s">
        <v>374</v>
      </c>
      <c r="D50" s="3">
        <v>22.0</v>
      </c>
      <c r="E50" s="3"/>
      <c r="F50" s="3">
        <v>3.2</v>
      </c>
      <c r="G50" s="3" t="s">
        <v>375</v>
      </c>
      <c r="H50" s="3">
        <v>4000.0</v>
      </c>
      <c r="I50" s="3">
        <f>D50*F50/H50*F2</f>
        <v>24.64</v>
      </c>
      <c r="J50" s="414"/>
      <c r="K50" s="276"/>
      <c r="L50" s="3"/>
      <c r="M50" s="3"/>
      <c r="N50" s="3"/>
      <c r="O50" s="3"/>
      <c r="P50" s="3" t="s">
        <v>345</v>
      </c>
      <c r="Q50" s="3">
        <f t="shared" ref="Q50:R50" si="36">+Q39*$P$36</f>
        <v>2160</v>
      </c>
      <c r="R50" s="3">
        <f t="shared" si="36"/>
        <v>2880</v>
      </c>
      <c r="S50" s="3"/>
      <c r="T50" s="3"/>
      <c r="U50" s="3"/>
      <c r="V50" s="3"/>
      <c r="W50" s="20"/>
    </row>
    <row r="51" ht="15.75" customHeight="1">
      <c r="A51" s="3"/>
      <c r="B51" s="3" t="s">
        <v>376</v>
      </c>
      <c r="C51" s="32" t="s">
        <v>377</v>
      </c>
      <c r="D51" s="3"/>
      <c r="E51" s="3"/>
      <c r="F51" s="3">
        <v>7.14</v>
      </c>
      <c r="G51" s="3"/>
      <c r="H51" s="3"/>
      <c r="I51" s="276"/>
      <c r="J51" s="414"/>
      <c r="K51" s="27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20"/>
    </row>
    <row r="52" ht="15.75" customHeight="1">
      <c r="A52" s="3"/>
      <c r="B52" s="3" t="s">
        <v>378</v>
      </c>
      <c r="C52" s="32" t="s">
        <v>379</v>
      </c>
      <c r="D52" s="3" t="s">
        <v>380</v>
      </c>
      <c r="E52" s="3"/>
      <c r="F52" s="3">
        <v>5.54347</v>
      </c>
      <c r="G52" s="3"/>
      <c r="H52" s="3">
        <f>F52*H2</f>
        <v>6.7075987</v>
      </c>
      <c r="I52" s="276">
        <f>H52*F2</f>
        <v>9390.63818</v>
      </c>
      <c r="J52" s="414"/>
      <c r="K52" s="276"/>
      <c r="L52" s="3"/>
      <c r="M52" s="3"/>
      <c r="N52" s="3"/>
      <c r="O52" s="3"/>
      <c r="P52" s="3" t="s">
        <v>381</v>
      </c>
      <c r="Q52" s="3">
        <f t="shared" ref="Q52:R52" si="37">Q48*4</f>
        <v>3840</v>
      </c>
      <c r="R52" s="3">
        <f t="shared" si="37"/>
        <v>4800</v>
      </c>
      <c r="S52" s="3"/>
      <c r="T52" s="3"/>
      <c r="U52" s="3"/>
      <c r="V52" s="3"/>
      <c r="W52" s="20"/>
    </row>
    <row r="53" ht="15.75" customHeight="1">
      <c r="A53" s="3"/>
      <c r="B53" s="3"/>
      <c r="C53" s="32"/>
      <c r="D53" s="3" t="s">
        <v>330</v>
      </c>
      <c r="E53" s="3"/>
      <c r="F53" s="3">
        <v>5.235</v>
      </c>
      <c r="G53" s="3"/>
      <c r="H53" s="3">
        <f>F53*H2</f>
        <v>6.33435</v>
      </c>
      <c r="I53" s="276">
        <f>H53*F2</f>
        <v>8868.09</v>
      </c>
      <c r="J53" s="414"/>
      <c r="K53" s="276"/>
      <c r="L53" s="3"/>
      <c r="M53" s="3"/>
      <c r="N53" s="3"/>
      <c r="O53" s="3"/>
      <c r="P53" s="3" t="s">
        <v>382</v>
      </c>
      <c r="Q53" s="3">
        <f t="shared" ref="Q53:R53" si="38">Q48*8</f>
        <v>7680</v>
      </c>
      <c r="R53" s="3">
        <f t="shared" si="38"/>
        <v>9600</v>
      </c>
      <c r="S53" s="3"/>
      <c r="T53" s="3"/>
      <c r="U53" s="3"/>
      <c r="V53" s="3"/>
      <c r="W53" s="20"/>
    </row>
    <row r="54" ht="15.75" customHeight="1">
      <c r="A54" s="3"/>
      <c r="B54" s="3"/>
      <c r="C54" s="32"/>
      <c r="D54" s="3"/>
      <c r="E54" s="3"/>
      <c r="F54" s="3"/>
      <c r="G54" s="3"/>
      <c r="H54" s="3"/>
      <c r="I54" s="276"/>
      <c r="J54" s="414"/>
      <c r="K54" s="27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20"/>
    </row>
    <row r="55" ht="15.75" customHeight="1">
      <c r="A55" s="3"/>
      <c r="B55" s="3"/>
      <c r="C55" s="32"/>
      <c r="D55" s="3"/>
      <c r="E55" s="3"/>
      <c r="F55" s="3"/>
      <c r="G55" s="3"/>
      <c r="H55" s="3"/>
      <c r="I55" s="276"/>
      <c r="J55" s="414"/>
      <c r="K55" s="276"/>
      <c r="L55" s="3"/>
      <c r="M55" s="3"/>
      <c r="N55" s="3"/>
      <c r="O55" s="3"/>
      <c r="P55" s="3" t="s">
        <v>383</v>
      </c>
      <c r="Q55" s="3">
        <f t="shared" ref="Q55:R55" si="39">Q50+Q49+Q52</f>
        <v>7200</v>
      </c>
      <c r="R55" s="3">
        <f t="shared" si="39"/>
        <v>9360</v>
      </c>
      <c r="S55" s="3"/>
      <c r="T55" s="3"/>
      <c r="U55" s="3"/>
      <c r="V55" s="3"/>
      <c r="W55" s="20"/>
    </row>
    <row r="56" ht="15.75" customHeight="1">
      <c r="A56" s="3"/>
      <c r="B56" s="3"/>
      <c r="C56" s="32" t="s">
        <v>91</v>
      </c>
      <c r="D56" s="3"/>
      <c r="E56" s="3"/>
      <c r="F56" s="3"/>
      <c r="G56" s="3"/>
      <c r="H56" s="3"/>
      <c r="I56" s="276" t="s">
        <v>384</v>
      </c>
      <c r="J56" s="414" t="s">
        <v>385</v>
      </c>
      <c r="K56" s="276"/>
      <c r="L56" s="3"/>
      <c r="M56" s="3"/>
      <c r="N56" s="3"/>
      <c r="O56" s="3"/>
      <c r="P56" s="3" t="s">
        <v>386</v>
      </c>
      <c r="Q56" s="3">
        <f t="shared" ref="Q56:R56" si="40">Q49*3+Q50+Q52</f>
        <v>9600</v>
      </c>
      <c r="R56" s="3">
        <f t="shared" si="40"/>
        <v>12720</v>
      </c>
      <c r="S56" s="3"/>
      <c r="T56" s="3"/>
      <c r="U56" s="3"/>
      <c r="V56" s="3"/>
      <c r="W56" s="20"/>
    </row>
    <row r="57" ht="15.75" customHeight="1">
      <c r="A57" s="107" t="s">
        <v>90</v>
      </c>
      <c r="B57" s="3" t="s">
        <v>387</v>
      </c>
      <c r="C57" s="32">
        <v>300000.0</v>
      </c>
      <c r="D57" s="3">
        <v>600000.0</v>
      </c>
      <c r="E57" s="3"/>
      <c r="F57" s="3">
        <v>147.0</v>
      </c>
      <c r="G57" s="3"/>
      <c r="H57" s="3" t="str">
        <f>F57*'[1]PAPEL US$'!F2*'[1]PAPEL US$'!H2</f>
        <v>#REF!</v>
      </c>
      <c r="I57" s="276" t="str">
        <f t="shared" ref="I57:I58" si="41">H57/C57</f>
        <v>#REF!</v>
      </c>
      <c r="J57" s="414" t="str">
        <f t="shared" ref="J57:J58" si="42">I57*L57</f>
        <v>#REF!</v>
      </c>
      <c r="K57" s="3" t="s">
        <v>388</v>
      </c>
      <c r="L57" s="3">
        <v>72.0</v>
      </c>
      <c r="M57" s="3"/>
      <c r="N57" s="3"/>
      <c r="O57" s="3"/>
      <c r="P57" s="3" t="s">
        <v>389</v>
      </c>
      <c r="Q57" s="3">
        <f>Q49*5+Q50+Q52</f>
        <v>12000</v>
      </c>
      <c r="R57" s="3">
        <f>R48*4+R49*5+R50</f>
        <v>16080</v>
      </c>
      <c r="S57" s="3"/>
      <c r="T57" s="3"/>
      <c r="U57" s="3"/>
      <c r="V57" s="3"/>
      <c r="W57" s="20"/>
    </row>
    <row r="58" ht="15.75" customHeight="1">
      <c r="A58" s="3"/>
      <c r="B58" s="3" t="s">
        <v>390</v>
      </c>
      <c r="C58" s="32">
        <v>300000.0</v>
      </c>
      <c r="D58" s="3">
        <v>133.0</v>
      </c>
      <c r="E58" s="3"/>
      <c r="F58" s="3">
        <v>133.0</v>
      </c>
      <c r="G58" s="3"/>
      <c r="H58" s="3" t="str">
        <f>F58*'[1]PAPEL US$'!F2*'[1]PAPEL US$'!H2</f>
        <v>#REF!</v>
      </c>
      <c r="I58" s="276" t="str">
        <f t="shared" si="41"/>
        <v>#REF!</v>
      </c>
      <c r="J58" s="414" t="str">
        <f t="shared" si="42"/>
        <v>#REF!</v>
      </c>
      <c r="K58" s="276" t="s">
        <v>385</v>
      </c>
      <c r="L58" s="3">
        <v>33.0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20"/>
    </row>
    <row r="59" ht="15.75" customHeight="1">
      <c r="A59" s="3"/>
      <c r="B59" s="3" t="s">
        <v>391</v>
      </c>
      <c r="C59" s="32">
        <v>300000.0</v>
      </c>
      <c r="D59" s="3"/>
      <c r="E59" s="3"/>
      <c r="F59" s="3"/>
      <c r="G59" s="3"/>
      <c r="H59" s="3"/>
      <c r="I59" s="276"/>
      <c r="J59" s="414"/>
      <c r="K59" s="276"/>
      <c r="L59" s="3"/>
      <c r="M59" s="3"/>
      <c r="N59" s="3"/>
      <c r="O59" s="3"/>
      <c r="P59" s="416" t="s">
        <v>392</v>
      </c>
      <c r="Q59" s="3">
        <f t="shared" ref="Q59:R59" si="43">Q55*2</f>
        <v>14400</v>
      </c>
      <c r="R59" s="3">
        <f t="shared" si="43"/>
        <v>18720</v>
      </c>
      <c r="S59" s="3"/>
      <c r="T59" s="3"/>
      <c r="U59" s="3"/>
      <c r="V59" s="3"/>
      <c r="W59" s="20"/>
    </row>
    <row r="60" ht="15.75" customHeight="1">
      <c r="A60" s="3"/>
      <c r="B60" s="3"/>
      <c r="C60" s="32"/>
      <c r="D60" s="3" t="s">
        <v>393</v>
      </c>
      <c r="E60" s="3" t="s">
        <v>394</v>
      </c>
      <c r="F60" s="3">
        <v>0.33</v>
      </c>
      <c r="G60" s="3"/>
      <c r="H60" s="3" t="s">
        <v>395</v>
      </c>
      <c r="I60" s="276" t="s">
        <v>92</v>
      </c>
      <c r="J60" s="414"/>
      <c r="K60" s="276">
        <v>202.0</v>
      </c>
      <c r="L60" s="3"/>
      <c r="M60" s="3"/>
      <c r="N60" s="3"/>
      <c r="O60" s="3"/>
      <c r="P60" s="3" t="s">
        <v>396</v>
      </c>
      <c r="Q60" s="3">
        <f t="shared" ref="Q60:R60" si="44">Q56*2</f>
        <v>19200</v>
      </c>
      <c r="R60" s="3">
        <f t="shared" si="44"/>
        <v>25440</v>
      </c>
      <c r="S60" s="3"/>
      <c r="T60" s="3"/>
      <c r="U60" s="3"/>
      <c r="V60" s="3"/>
      <c r="W60" s="20"/>
    </row>
    <row r="61" ht="15.75" customHeight="1">
      <c r="A61" s="107"/>
      <c r="B61" s="3">
        <v>0.52</v>
      </c>
      <c r="C61" s="32">
        <v>3000.0</v>
      </c>
      <c r="D61" s="3">
        <f>B61*C61</f>
        <v>1560</v>
      </c>
      <c r="E61" s="3">
        <v>0.27</v>
      </c>
      <c r="F61" s="3">
        <f>C61/F60</f>
        <v>9090.909091</v>
      </c>
      <c r="G61" s="3"/>
      <c r="H61" s="3">
        <f>D61*E61</f>
        <v>421.2</v>
      </c>
      <c r="I61" s="406">
        <f>H61*H2</f>
        <v>509.652</v>
      </c>
      <c r="J61" s="414">
        <f>I61/F61</f>
        <v>0.05606172</v>
      </c>
      <c r="K61" s="276">
        <f>K60*J61</f>
        <v>11.32446744</v>
      </c>
      <c r="L61" s="3"/>
      <c r="M61" s="3"/>
      <c r="N61" s="3"/>
      <c r="O61" s="3"/>
      <c r="P61" s="3" t="s">
        <v>397</v>
      </c>
      <c r="Q61" s="3">
        <f t="shared" ref="Q61:R61" si="45">Q57*2</f>
        <v>24000</v>
      </c>
      <c r="R61" s="3">
        <f t="shared" si="45"/>
        <v>32160</v>
      </c>
      <c r="S61" s="3"/>
      <c r="T61" s="3"/>
      <c r="U61" s="3"/>
      <c r="V61" s="3"/>
      <c r="W61" s="20"/>
    </row>
    <row r="62" ht="15.75" customHeight="1">
      <c r="A62" s="3"/>
      <c r="B62" s="3"/>
      <c r="C62" s="32"/>
      <c r="D62" s="3"/>
      <c r="E62" s="3"/>
      <c r="F62" s="3"/>
      <c r="G62" s="3"/>
      <c r="H62" s="3"/>
      <c r="I62" s="276"/>
      <c r="J62" s="414"/>
      <c r="K62" s="27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20"/>
    </row>
    <row r="63" ht="15.75" customHeight="1">
      <c r="A63" s="3"/>
      <c r="B63" s="3"/>
      <c r="C63" s="32"/>
      <c r="D63" s="3"/>
      <c r="E63" s="3"/>
      <c r="F63" s="3"/>
      <c r="G63" s="3"/>
      <c r="H63" s="3"/>
      <c r="I63" s="276"/>
      <c r="J63" s="414"/>
      <c r="K63" s="27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20"/>
    </row>
    <row r="64" ht="15.75" customHeight="1">
      <c r="A64" s="3"/>
      <c r="B64" s="3"/>
      <c r="C64" s="32"/>
      <c r="D64" s="3"/>
      <c r="E64" s="3"/>
      <c r="F64" s="3"/>
      <c r="G64" s="3"/>
      <c r="H64" s="3"/>
      <c r="I64" s="276"/>
      <c r="J64" s="414"/>
      <c r="K64" s="276"/>
      <c r="L64" s="3"/>
      <c r="M64" s="3"/>
      <c r="N64" s="3"/>
      <c r="O64" s="3"/>
      <c r="P64" s="3">
        <v>21.5</v>
      </c>
      <c r="Q64" s="3">
        <v>59125.0</v>
      </c>
      <c r="R64" s="3"/>
      <c r="S64" s="3"/>
      <c r="T64" s="3"/>
      <c r="U64" s="3"/>
      <c r="V64" s="3"/>
      <c r="W64" s="20"/>
    </row>
    <row r="65" ht="15.75" customHeight="1">
      <c r="A65" s="3"/>
      <c r="B65" s="3"/>
      <c r="C65" s="32"/>
      <c r="D65" s="3"/>
      <c r="E65" s="3"/>
      <c r="F65" s="3"/>
      <c r="G65" s="3"/>
      <c r="H65" s="3"/>
      <c r="I65" s="276"/>
      <c r="J65" s="414"/>
      <c r="K65" s="27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20"/>
    </row>
    <row r="66" ht="15.75" customHeight="1">
      <c r="A66" s="3"/>
      <c r="B66" s="3"/>
      <c r="C66" s="32"/>
      <c r="D66" s="3"/>
      <c r="E66" s="3"/>
      <c r="F66" s="3"/>
      <c r="G66" s="3"/>
      <c r="H66" s="3"/>
      <c r="I66" s="276"/>
      <c r="J66" s="414"/>
      <c r="K66" s="276"/>
      <c r="L66" s="3"/>
      <c r="M66" s="3"/>
      <c r="N66" s="3"/>
      <c r="O66" s="3"/>
      <c r="P66" s="3">
        <v>23000.0</v>
      </c>
      <c r="Q66" s="3"/>
      <c r="R66" s="3"/>
      <c r="S66" s="3"/>
      <c r="T66" s="3"/>
      <c r="U66" s="3"/>
      <c r="V66" s="3"/>
      <c r="W66" s="20"/>
    </row>
    <row r="67" ht="15.75" customHeight="1">
      <c r="A67" s="3"/>
      <c r="B67" s="3"/>
      <c r="C67" s="32"/>
      <c r="D67" s="3"/>
      <c r="E67" s="3"/>
      <c r="F67" s="3"/>
      <c r="G67" s="3"/>
      <c r="H67" s="3"/>
      <c r="I67" s="276"/>
      <c r="J67" s="414"/>
      <c r="K67" s="276"/>
      <c r="L67" s="3"/>
      <c r="M67" s="3" t="s">
        <v>398</v>
      </c>
      <c r="O67" s="3"/>
      <c r="P67" s="3">
        <v>73000.0</v>
      </c>
      <c r="Q67" s="3"/>
      <c r="R67" s="3"/>
      <c r="S67" s="3"/>
      <c r="T67" s="3"/>
      <c r="U67" s="3"/>
      <c r="V67" s="3"/>
      <c r="W67" s="20"/>
    </row>
    <row r="68" ht="15.75" customHeight="1">
      <c r="A68" s="3"/>
      <c r="B68" s="3"/>
      <c r="C68" s="32"/>
      <c r="D68" s="3"/>
      <c r="E68" s="3"/>
      <c r="F68" s="3"/>
      <c r="G68" s="3"/>
      <c r="H68" s="3"/>
      <c r="I68" s="276"/>
      <c r="J68" s="414"/>
      <c r="K68" s="276"/>
      <c r="L68" s="3"/>
      <c r="M68" s="3" t="s">
        <v>399</v>
      </c>
      <c r="N68" s="3"/>
      <c r="O68" s="3"/>
      <c r="P68" s="3">
        <v>7000.0</v>
      </c>
      <c r="Q68" s="3"/>
      <c r="R68" s="3"/>
      <c r="S68" s="3"/>
      <c r="T68" s="3"/>
      <c r="U68" s="3"/>
      <c r="V68" s="3"/>
      <c r="W68" s="20"/>
    </row>
    <row r="69" ht="15.75" customHeight="1">
      <c r="A69" s="3"/>
      <c r="B69" s="3"/>
      <c r="C69" s="32"/>
      <c r="D69" s="3"/>
      <c r="E69" s="3"/>
      <c r="F69" s="3"/>
      <c r="G69" s="3"/>
      <c r="H69" s="3"/>
      <c r="I69" s="276"/>
      <c r="J69" s="414"/>
      <c r="K69" s="276"/>
      <c r="L69" s="3"/>
      <c r="M69" s="3" t="s">
        <v>400</v>
      </c>
      <c r="N69" s="3"/>
      <c r="O69" s="3"/>
      <c r="P69" s="3">
        <v>7000.0</v>
      </c>
      <c r="V69" s="3"/>
      <c r="W69" s="20"/>
    </row>
    <row r="70" ht="15.75" customHeight="1">
      <c r="A70" s="3"/>
      <c r="M70" s="3" t="s">
        <v>401</v>
      </c>
      <c r="P70" s="3">
        <f>SUM(P66:P69)</f>
        <v>110000</v>
      </c>
    </row>
    <row r="71" ht="15.75" customHeight="1">
      <c r="A71" s="3"/>
      <c r="P71" s="3">
        <v>11000.0</v>
      </c>
    </row>
    <row r="72" ht="15.75" customHeight="1">
      <c r="A72" s="3"/>
      <c r="O72" s="418">
        <v>0.1</v>
      </c>
      <c r="P72" s="3">
        <f>SUM(P70:P71)</f>
        <v>121000</v>
      </c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1.43"/>
    <col customWidth="1" min="7" max="9" width="10.71"/>
    <col customWidth="1" min="10" max="11" width="13.43"/>
    <col customWidth="1" min="12" max="12" width="10.71"/>
  </cols>
  <sheetData>
    <row r="1">
      <c r="B1" s="419" t="s">
        <v>402</v>
      </c>
      <c r="C1" s="420" t="s">
        <v>403</v>
      </c>
      <c r="D1" s="420">
        <v>7.0</v>
      </c>
      <c r="E1" s="421" t="s">
        <v>307</v>
      </c>
      <c r="F1" s="422">
        <v>160.0</v>
      </c>
      <c r="G1" s="421" t="s">
        <v>404</v>
      </c>
      <c r="H1" s="3">
        <v>300.0</v>
      </c>
      <c r="I1" s="3">
        <v>1.0</v>
      </c>
      <c r="J1" s="32"/>
      <c r="K1" s="32">
        <v>1.1</v>
      </c>
    </row>
    <row r="2">
      <c r="B2" s="419"/>
      <c r="C2" s="419"/>
      <c r="D2" s="419"/>
      <c r="E2" s="419"/>
      <c r="F2" s="423" t="s">
        <v>405</v>
      </c>
      <c r="G2" s="424" t="s">
        <v>406</v>
      </c>
      <c r="H2" s="425">
        <v>1.0</v>
      </c>
      <c r="I2" s="419" t="s">
        <v>407</v>
      </c>
      <c r="J2" s="426" t="s">
        <v>379</v>
      </c>
      <c r="K2" s="426" t="s">
        <v>379</v>
      </c>
    </row>
    <row r="3">
      <c r="B3" s="419" t="s">
        <v>408</v>
      </c>
      <c r="C3" s="3">
        <v>6.0</v>
      </c>
      <c r="D3" s="3">
        <f>Bajadas!L8*C3</f>
        <v>477333.6019</v>
      </c>
      <c r="E3" s="3">
        <f>F1*D1</f>
        <v>1120</v>
      </c>
      <c r="F3" s="123">
        <f>H1*D1</f>
        <v>2100</v>
      </c>
      <c r="G3" s="123"/>
      <c r="H3" s="3">
        <f t="shared" ref="H3:H6" si="1">SUM(D3:F3)</f>
        <v>480553.6019</v>
      </c>
      <c r="I3" s="123">
        <f>H3*I1</f>
        <v>480553.6019</v>
      </c>
      <c r="J3" s="427">
        <f>I3/D1</f>
        <v>68650.51455</v>
      </c>
      <c r="K3" s="427">
        <f>I3/D1*K1</f>
        <v>75515.56601</v>
      </c>
      <c r="L3" s="123">
        <f>Bajadas!C10</f>
        <v>173178.0226</v>
      </c>
    </row>
    <row r="4">
      <c r="B4" s="3"/>
      <c r="C4" s="3">
        <v>7.0</v>
      </c>
      <c r="D4" s="3">
        <f>Bajadas!L8*C4</f>
        <v>556889.2022</v>
      </c>
      <c r="E4" s="3">
        <f>F1*D$1</f>
        <v>1120</v>
      </c>
      <c r="F4" s="123">
        <f>H1*D1</f>
        <v>2100</v>
      </c>
      <c r="G4" s="123"/>
      <c r="H4" s="3">
        <f t="shared" si="1"/>
        <v>560109.2022</v>
      </c>
      <c r="I4" s="123">
        <f>H4*I1</f>
        <v>560109.2022</v>
      </c>
      <c r="J4" s="427">
        <f>I4/D1</f>
        <v>80015.60031</v>
      </c>
      <c r="K4" s="427">
        <f>I4/D1*K1</f>
        <v>88017.16034</v>
      </c>
      <c r="L4" s="123">
        <f>Bajadas!C10</f>
        <v>173178.0226</v>
      </c>
    </row>
    <row r="5">
      <c r="B5" s="3"/>
      <c r="C5" s="3">
        <v>12.0</v>
      </c>
      <c r="D5" s="3">
        <f>Bajadas!L8*C5</f>
        <v>954667.2038</v>
      </c>
      <c r="E5" s="3">
        <f>F1*D$1</f>
        <v>1120</v>
      </c>
      <c r="F5" s="123">
        <f>H1*D1</f>
        <v>2100</v>
      </c>
      <c r="G5" s="123"/>
      <c r="H5" s="3">
        <f t="shared" si="1"/>
        <v>957887.2038</v>
      </c>
      <c r="I5" s="123">
        <f>H5*I1</f>
        <v>957887.2038</v>
      </c>
      <c r="J5" s="427">
        <f>I5/D1</f>
        <v>136841.0291</v>
      </c>
      <c r="K5" s="427">
        <f>I5/D1*K1</f>
        <v>150525.132</v>
      </c>
      <c r="L5" s="123">
        <f>Bajadas!C10</f>
        <v>173178.0226</v>
      </c>
    </row>
    <row r="6">
      <c r="B6" s="3"/>
      <c r="C6" s="3">
        <v>13.0</v>
      </c>
      <c r="D6" s="3">
        <f>Bajadas!L8*C6</f>
        <v>1034222.804</v>
      </c>
      <c r="E6" s="3">
        <f>F1*D$1</f>
        <v>1120</v>
      </c>
      <c r="F6" s="123">
        <f>H1*D1</f>
        <v>2100</v>
      </c>
      <c r="G6" s="123"/>
      <c r="H6" s="3">
        <f t="shared" si="1"/>
        <v>1037442.804</v>
      </c>
      <c r="I6" s="123">
        <f>H6*I1</f>
        <v>1037442.804</v>
      </c>
      <c r="J6" s="427">
        <f>I6/D1</f>
        <v>148206.1149</v>
      </c>
      <c r="K6" s="427">
        <f>I6/D1*K1</f>
        <v>163026.7264</v>
      </c>
      <c r="L6" s="123">
        <f>Bajadas!C10</f>
        <v>173178.0226</v>
      </c>
    </row>
    <row r="7">
      <c r="B7" s="3"/>
      <c r="C7" s="3"/>
      <c r="D7" s="3"/>
      <c r="E7" s="3"/>
      <c r="F7" s="428"/>
      <c r="G7" s="429"/>
      <c r="H7" s="430"/>
      <c r="I7" s="431"/>
      <c r="J7" s="432"/>
      <c r="K7" s="32"/>
    </row>
    <row r="8">
      <c r="B8" s="3"/>
      <c r="C8" s="3"/>
      <c r="D8" s="3"/>
      <c r="E8" s="3"/>
      <c r="F8" s="428"/>
      <c r="G8" s="429"/>
      <c r="H8" s="430"/>
      <c r="I8" s="431"/>
      <c r="J8" s="432"/>
      <c r="K8" s="32"/>
    </row>
    <row r="9">
      <c r="B9" s="3"/>
      <c r="C9" s="3"/>
      <c r="D9" s="3"/>
      <c r="E9" s="3"/>
      <c r="F9" s="428"/>
      <c r="G9" s="429"/>
      <c r="H9" s="430"/>
      <c r="I9" s="431"/>
      <c r="J9" s="432"/>
      <c r="K9" s="32"/>
    </row>
    <row r="10">
      <c r="B10" s="419" t="s">
        <v>402</v>
      </c>
      <c r="C10" s="420" t="s">
        <v>403</v>
      </c>
      <c r="D10" s="420">
        <v>7.0</v>
      </c>
      <c r="E10" s="421" t="s">
        <v>307</v>
      </c>
      <c r="F10" s="422">
        <v>160.0</v>
      </c>
      <c r="G10" s="421" t="s">
        <v>404</v>
      </c>
      <c r="H10" s="3">
        <v>300.0</v>
      </c>
      <c r="I10" s="3">
        <v>1.0</v>
      </c>
      <c r="J10" s="32"/>
      <c r="K10" s="32">
        <v>1.1</v>
      </c>
      <c r="L10" s="3"/>
    </row>
    <row r="11">
      <c r="B11" s="419"/>
      <c r="C11" s="419"/>
      <c r="D11" s="419"/>
      <c r="E11" s="419"/>
      <c r="F11" s="423" t="s">
        <v>405</v>
      </c>
      <c r="G11" s="424" t="s">
        <v>406</v>
      </c>
      <c r="H11" s="425">
        <v>1.0</v>
      </c>
      <c r="I11" s="419" t="s">
        <v>407</v>
      </c>
      <c r="J11" s="426" t="s">
        <v>379</v>
      </c>
      <c r="K11" s="426" t="s">
        <v>379</v>
      </c>
      <c r="L11" s="3"/>
    </row>
    <row r="12">
      <c r="B12" s="419">
        <v>300.0</v>
      </c>
      <c r="C12" s="3">
        <v>6.0</v>
      </c>
      <c r="D12" s="3">
        <f>Bajadas!H8*C12</f>
        <v>951584.2538</v>
      </c>
      <c r="E12" s="3">
        <f>F10*D10</f>
        <v>1120</v>
      </c>
      <c r="F12" s="123">
        <f>H10*D10</f>
        <v>2100</v>
      </c>
      <c r="G12" s="123"/>
      <c r="H12" s="3">
        <f t="shared" ref="H12:H15" si="2">SUM(D12:F12)</f>
        <v>954804.2538</v>
      </c>
      <c r="I12" s="123">
        <f>H12*I10</f>
        <v>954804.2538</v>
      </c>
      <c r="J12" s="427">
        <f>I12/D10</f>
        <v>136400.6077</v>
      </c>
      <c r="K12" s="427">
        <f>I12/D10*K10</f>
        <v>150040.6684</v>
      </c>
      <c r="L12" s="123">
        <f>Bajadas!C19</f>
        <v>179149.6785</v>
      </c>
    </row>
    <row r="13">
      <c r="B13" s="3"/>
      <c r="C13" s="3">
        <v>7.0</v>
      </c>
      <c r="D13" s="3">
        <f>Bajadas!H8*C13</f>
        <v>1110181.629</v>
      </c>
      <c r="E13" s="3">
        <f>F10*D$1</f>
        <v>1120</v>
      </c>
      <c r="F13" s="123">
        <f>H10*D10</f>
        <v>2100</v>
      </c>
      <c r="G13" s="123"/>
      <c r="H13" s="3">
        <f t="shared" si="2"/>
        <v>1113401.629</v>
      </c>
      <c r="I13" s="123">
        <f>H13*I10</f>
        <v>1113401.629</v>
      </c>
      <c r="J13" s="427">
        <f>I13/D10</f>
        <v>159057.3756</v>
      </c>
      <c r="K13" s="427">
        <f>I13/D10*K10</f>
        <v>174963.1132</v>
      </c>
      <c r="L13" s="123">
        <f>Bajadas!C19</f>
        <v>179149.6785</v>
      </c>
    </row>
    <row r="14">
      <c r="B14" s="3"/>
      <c r="C14" s="3">
        <v>12.0</v>
      </c>
      <c r="D14" s="3">
        <f>Bajadas!H8*C14</f>
        <v>1903168.508</v>
      </c>
      <c r="E14" s="3">
        <f>F10*D$1</f>
        <v>1120</v>
      </c>
      <c r="F14" s="123">
        <f>H10*D10</f>
        <v>2100</v>
      </c>
      <c r="G14" s="123"/>
      <c r="H14" s="3">
        <f t="shared" si="2"/>
        <v>1906388.508</v>
      </c>
      <c r="I14" s="123">
        <f>H14*I10</f>
        <v>1906388.508</v>
      </c>
      <c r="J14" s="427">
        <f>I14/D10</f>
        <v>272341.2154</v>
      </c>
      <c r="K14" s="427">
        <f>I14/D10*K10</f>
        <v>299575.3369</v>
      </c>
      <c r="L14" s="123">
        <f>Bajadas!C19</f>
        <v>179149.6785</v>
      </c>
    </row>
    <row r="15">
      <c r="B15" s="3"/>
      <c r="C15" s="3">
        <v>13.0</v>
      </c>
      <c r="D15" s="3">
        <f>Bajadas!H8*C15</f>
        <v>2061765.883</v>
      </c>
      <c r="E15" s="3">
        <f>F10*D$1</f>
        <v>1120</v>
      </c>
      <c r="F15" s="123">
        <f>H10*D10</f>
        <v>2100</v>
      </c>
      <c r="G15" s="123"/>
      <c r="H15" s="3">
        <f t="shared" si="2"/>
        <v>2064985.883</v>
      </c>
      <c r="I15" s="123">
        <f>H15*I10</f>
        <v>2064985.883</v>
      </c>
      <c r="J15" s="427">
        <f>I15/D10</f>
        <v>294997.9833</v>
      </c>
      <c r="K15" s="427">
        <f>I15/D10*K10</f>
        <v>324497.7816</v>
      </c>
      <c r="L15" s="123">
        <f>Bajadas!C19</f>
        <v>179149.6785</v>
      </c>
    </row>
    <row r="16">
      <c r="B16" s="3"/>
      <c r="C16" s="3"/>
      <c r="D16" s="3"/>
      <c r="E16" s="3"/>
      <c r="F16" s="123"/>
      <c r="G16" s="3"/>
      <c r="H16" s="3"/>
      <c r="I16" s="3"/>
      <c r="J16" s="32"/>
      <c r="K16" s="32"/>
    </row>
    <row r="17">
      <c r="B17" s="419" t="s">
        <v>402</v>
      </c>
      <c r="C17" s="420" t="s">
        <v>409</v>
      </c>
      <c r="D17" s="420">
        <v>4.0</v>
      </c>
      <c r="E17" s="421" t="s">
        <v>307</v>
      </c>
      <c r="F17" s="422">
        <v>160.0</v>
      </c>
      <c r="G17" s="421" t="s">
        <v>404</v>
      </c>
      <c r="H17" s="3">
        <v>300.0</v>
      </c>
      <c r="I17" s="3">
        <v>1.0</v>
      </c>
      <c r="J17" s="32"/>
      <c r="K17" s="32">
        <v>1.1</v>
      </c>
      <c r="L17" s="3"/>
    </row>
    <row r="18">
      <c r="B18" s="419"/>
      <c r="C18" s="419"/>
      <c r="D18" s="419"/>
      <c r="E18" s="419"/>
      <c r="F18" s="423" t="s">
        <v>405</v>
      </c>
      <c r="G18" s="424" t="s">
        <v>406</v>
      </c>
      <c r="H18" s="425">
        <v>1.0</v>
      </c>
      <c r="I18" s="419" t="s">
        <v>407</v>
      </c>
      <c r="J18" s="426" t="s">
        <v>379</v>
      </c>
      <c r="K18" s="426" t="s">
        <v>379</v>
      </c>
      <c r="L18" s="3"/>
    </row>
    <row r="19">
      <c r="B19" s="419" t="s">
        <v>408</v>
      </c>
      <c r="C19" s="3">
        <v>6.0</v>
      </c>
      <c r="D19" s="3">
        <f>Bajadas!L8*C19</f>
        <v>477333.6019</v>
      </c>
      <c r="E19" s="3">
        <f>F17*D17</f>
        <v>640</v>
      </c>
      <c r="F19" s="123">
        <f>H17*D17</f>
        <v>1200</v>
      </c>
      <c r="G19" s="123"/>
      <c r="H19" s="3">
        <f t="shared" ref="H19:H22" si="3">SUM(D19:F19)</f>
        <v>479173.6019</v>
      </c>
      <c r="I19" s="123">
        <f>H19*I17</f>
        <v>479173.6019</v>
      </c>
      <c r="J19" s="427">
        <f>I19/D17</f>
        <v>119793.4005</v>
      </c>
      <c r="K19" s="427">
        <f>I19/D17*K17</f>
        <v>131772.7405</v>
      </c>
      <c r="L19" s="123">
        <f>Bajadas!C26</f>
        <v>295757.8445</v>
      </c>
    </row>
    <row r="20">
      <c r="B20" s="3"/>
      <c r="C20" s="3">
        <v>7.0</v>
      </c>
      <c r="D20" s="3">
        <f>Bajadas!L8*C20</f>
        <v>556889.2022</v>
      </c>
      <c r="E20" s="3">
        <f>F17*D17</f>
        <v>640</v>
      </c>
      <c r="F20" s="123">
        <f>H17*D17</f>
        <v>1200</v>
      </c>
      <c r="G20" s="123"/>
      <c r="H20" s="3">
        <f t="shared" si="3"/>
        <v>558729.2022</v>
      </c>
      <c r="I20" s="123">
        <f>H20*I17</f>
        <v>558729.2022</v>
      </c>
      <c r="J20" s="427">
        <f>I20/D17</f>
        <v>139682.3005</v>
      </c>
      <c r="K20" s="427">
        <f>I20/D17*K17</f>
        <v>153650.5306</v>
      </c>
      <c r="L20" s="123">
        <f>Bajadas!C26</f>
        <v>295757.8445</v>
      </c>
    </row>
    <row r="21" ht="15.75" customHeight="1">
      <c r="B21" s="3"/>
      <c r="C21" s="3">
        <v>12.0</v>
      </c>
      <c r="D21" s="3">
        <f>Bajadas!L8*C21</f>
        <v>954667.2038</v>
      </c>
      <c r="E21" s="3">
        <f>F17*D17</f>
        <v>640</v>
      </c>
      <c r="F21" s="123">
        <f>H17*D17</f>
        <v>1200</v>
      </c>
      <c r="G21" s="123"/>
      <c r="H21" s="3">
        <f t="shared" si="3"/>
        <v>956507.2038</v>
      </c>
      <c r="I21" s="123">
        <f>H21*I17</f>
        <v>956507.2038</v>
      </c>
      <c r="J21" s="427">
        <f>I21/D17</f>
        <v>239126.8009</v>
      </c>
      <c r="K21" s="427">
        <f>I21/D17*K17</f>
        <v>263039.481</v>
      </c>
      <c r="L21" s="123">
        <f>Bajadas!C26</f>
        <v>295757.8445</v>
      </c>
    </row>
    <row r="22" ht="15.75" customHeight="1">
      <c r="B22" s="3"/>
      <c r="C22" s="3">
        <v>13.0</v>
      </c>
      <c r="D22" s="3">
        <f>Bajadas!L8*C22</f>
        <v>1034222.804</v>
      </c>
      <c r="E22" s="3">
        <f>F17*D17</f>
        <v>640</v>
      </c>
      <c r="F22" s="123">
        <f>H17*D17</f>
        <v>1200</v>
      </c>
      <c r="G22" s="123"/>
      <c r="H22" s="3">
        <f t="shared" si="3"/>
        <v>1036062.804</v>
      </c>
      <c r="I22" s="123">
        <f>H22*I17</f>
        <v>1036062.804</v>
      </c>
      <c r="J22" s="427">
        <f>I22/D17</f>
        <v>259015.701</v>
      </c>
      <c r="K22" s="427">
        <f>I22/D17*K17</f>
        <v>284917.2711</v>
      </c>
      <c r="L22" s="123">
        <f>Bajadas!C26</f>
        <v>295757.8445</v>
      </c>
    </row>
    <row r="23" ht="15.75" customHeight="1">
      <c r="B23" s="3"/>
      <c r="C23" s="3"/>
      <c r="D23" s="3"/>
      <c r="E23" s="3"/>
      <c r="F23" s="428"/>
      <c r="G23" s="429"/>
      <c r="H23" s="430"/>
      <c r="I23" s="431"/>
      <c r="J23" s="432"/>
      <c r="K23" s="32"/>
      <c r="L23" s="3"/>
    </row>
    <row r="24" ht="15.75" customHeight="1">
      <c r="B24" s="3"/>
      <c r="C24" s="3"/>
      <c r="D24" s="3"/>
      <c r="E24" s="3"/>
      <c r="F24" s="428"/>
      <c r="G24" s="429"/>
      <c r="H24" s="430"/>
      <c r="I24" s="431"/>
      <c r="J24" s="432"/>
      <c r="K24" s="32"/>
      <c r="L24" s="3"/>
    </row>
    <row r="25" ht="15.75" customHeight="1">
      <c r="B25" s="3"/>
      <c r="C25" s="3"/>
      <c r="D25" s="3"/>
      <c r="E25" s="3"/>
      <c r="F25" s="428"/>
      <c r="G25" s="429"/>
      <c r="H25" s="430"/>
      <c r="I25" s="431"/>
      <c r="J25" s="432"/>
      <c r="K25" s="32"/>
      <c r="L25" s="3"/>
    </row>
    <row r="26" ht="15.75" customHeight="1">
      <c r="B26" s="419" t="s">
        <v>402</v>
      </c>
      <c r="C26" s="420" t="s">
        <v>409</v>
      </c>
      <c r="D26" s="420">
        <v>4.0</v>
      </c>
      <c r="E26" s="421" t="s">
        <v>307</v>
      </c>
      <c r="F26" s="422">
        <v>160.0</v>
      </c>
      <c r="G26" s="421" t="s">
        <v>404</v>
      </c>
      <c r="H26" s="3">
        <v>300.0</v>
      </c>
      <c r="I26" s="3">
        <v>1.0</v>
      </c>
      <c r="J26" s="32"/>
      <c r="K26" s="32">
        <v>1.1</v>
      </c>
      <c r="L26" s="3"/>
    </row>
    <row r="27" ht="15.75" customHeight="1">
      <c r="B27" s="419"/>
      <c r="C27" s="419"/>
      <c r="D27" s="419"/>
      <c r="E27" s="419"/>
      <c r="F27" s="423" t="s">
        <v>405</v>
      </c>
      <c r="G27" s="424" t="s">
        <v>406</v>
      </c>
      <c r="H27" s="425">
        <v>1.0</v>
      </c>
      <c r="I27" s="419" t="s">
        <v>407</v>
      </c>
      <c r="J27" s="426" t="s">
        <v>379</v>
      </c>
      <c r="K27" s="426" t="s">
        <v>379</v>
      </c>
      <c r="L27" s="3"/>
    </row>
    <row r="28" ht="15.75" customHeight="1">
      <c r="B28" s="419" t="s">
        <v>408</v>
      </c>
      <c r="C28" s="3">
        <v>6.0</v>
      </c>
      <c r="D28" s="3">
        <f>Bajadas!H8*C28</f>
        <v>951584.2538</v>
      </c>
      <c r="E28" s="3">
        <f>F26*D26</f>
        <v>640</v>
      </c>
      <c r="F28" s="123">
        <f>H26*D26</f>
        <v>1200</v>
      </c>
      <c r="G28" s="123"/>
      <c r="H28" s="3">
        <f t="shared" ref="H28:H31" si="4">SUM(D28:F28)</f>
        <v>953424.2538</v>
      </c>
      <c r="I28" s="123">
        <f>H28*I26</f>
        <v>953424.2538</v>
      </c>
      <c r="J28" s="427">
        <f>I28/D26</f>
        <v>238356.0634</v>
      </c>
      <c r="K28" s="427">
        <f>I28/D26*K26</f>
        <v>262191.6698</v>
      </c>
      <c r="L28" s="123">
        <f>Bajadas!C35</f>
        <v>121797.3551</v>
      </c>
    </row>
    <row r="29" ht="15.75" customHeight="1">
      <c r="B29" s="3"/>
      <c r="C29" s="3">
        <v>7.0</v>
      </c>
      <c r="D29" s="3">
        <f>Bajadas!H8*C29</f>
        <v>1110181.629</v>
      </c>
      <c r="E29" s="3">
        <f>F26*D26</f>
        <v>640</v>
      </c>
      <c r="F29" s="123">
        <f>H26*D26</f>
        <v>1200</v>
      </c>
      <c r="G29" s="123"/>
      <c r="H29" s="3">
        <f t="shared" si="4"/>
        <v>1112021.629</v>
      </c>
      <c r="I29" s="123">
        <f>H29*I26</f>
        <v>1112021.629</v>
      </c>
      <c r="J29" s="427">
        <f>I29/D26</f>
        <v>278005.4073</v>
      </c>
      <c r="K29" s="427">
        <f>I29/D26*K26</f>
        <v>305805.9481</v>
      </c>
      <c r="L29" s="123">
        <f>Bajadas!C35</f>
        <v>121797.3551</v>
      </c>
    </row>
    <row r="30" ht="15.75" customHeight="1">
      <c r="B30" s="3"/>
      <c r="C30" s="3">
        <v>12.0</v>
      </c>
      <c r="D30" s="3">
        <f>Bajadas!H8*C30</f>
        <v>1903168.508</v>
      </c>
      <c r="E30" s="3">
        <f>F26*D26</f>
        <v>640</v>
      </c>
      <c r="F30" s="123">
        <f>H26*D26</f>
        <v>1200</v>
      </c>
      <c r="G30" s="123"/>
      <c r="H30" s="3">
        <f t="shared" si="4"/>
        <v>1905008.508</v>
      </c>
      <c r="I30" s="123">
        <f>H30*I26</f>
        <v>1905008.508</v>
      </c>
      <c r="J30" s="427">
        <f>I30/D26</f>
        <v>476252.1269</v>
      </c>
      <c r="K30" s="427">
        <f>I30/D26*K26</f>
        <v>523877.3396</v>
      </c>
      <c r="L30" s="123">
        <f>Bajadas!C35</f>
        <v>121797.3551</v>
      </c>
    </row>
    <row r="31" ht="15.75" customHeight="1">
      <c r="B31" s="3"/>
      <c r="C31" s="3">
        <v>13.0</v>
      </c>
      <c r="D31" s="3">
        <f>Bajadas!H8*C31</f>
        <v>2061765.883</v>
      </c>
      <c r="E31" s="3">
        <f>F26*D26</f>
        <v>640</v>
      </c>
      <c r="F31" s="123">
        <f>H26*D26</f>
        <v>1200</v>
      </c>
      <c r="G31" s="123"/>
      <c r="H31" s="3">
        <f t="shared" si="4"/>
        <v>2063605.883</v>
      </c>
      <c r="I31" s="123">
        <f>H31*I26</f>
        <v>2063605.883</v>
      </c>
      <c r="J31" s="427">
        <f>I31/D26</f>
        <v>515901.4708</v>
      </c>
      <c r="K31" s="427">
        <f>I31/D26*K26</f>
        <v>567491.6179</v>
      </c>
      <c r="L31" s="123">
        <f>Bajadas!C35</f>
        <v>121797.3551</v>
      </c>
    </row>
    <row r="32" ht="15.75" customHeight="1">
      <c r="F32" s="123"/>
      <c r="J32" s="32"/>
      <c r="K32" s="32"/>
    </row>
    <row r="33" ht="15.75" customHeight="1">
      <c r="F33" s="123"/>
      <c r="J33" s="32"/>
      <c r="K33" s="32"/>
    </row>
    <row r="34" ht="15.75" customHeight="1">
      <c r="F34" s="123"/>
      <c r="J34" s="32"/>
      <c r="K34" s="32"/>
    </row>
    <row r="35" ht="15.75" customHeight="1">
      <c r="F35" s="123"/>
      <c r="J35" s="32"/>
      <c r="K35" s="32"/>
    </row>
    <row r="36" ht="15.75" customHeight="1">
      <c r="F36" s="123"/>
      <c r="J36" s="32"/>
      <c r="K36" s="32"/>
    </row>
    <row r="37" ht="15.75" customHeight="1">
      <c r="F37" s="123"/>
      <c r="J37" s="32"/>
      <c r="K37" s="32"/>
    </row>
    <row r="38" ht="15.75" customHeight="1">
      <c r="F38" s="123"/>
      <c r="J38" s="32"/>
      <c r="K38" s="32"/>
    </row>
    <row r="39" ht="15.75" customHeight="1">
      <c r="F39" s="123"/>
      <c r="J39" s="32"/>
      <c r="K39" s="32"/>
    </row>
    <row r="40" ht="15.75" customHeight="1">
      <c r="F40" s="123"/>
      <c r="J40" s="32"/>
      <c r="K40" s="32"/>
    </row>
    <row r="41" ht="15.75" customHeight="1">
      <c r="F41" s="123"/>
      <c r="J41" s="32"/>
      <c r="K41" s="32"/>
    </row>
    <row r="42" ht="15.75" customHeight="1">
      <c r="F42" s="123"/>
      <c r="J42" s="32"/>
      <c r="K42" s="32"/>
    </row>
    <row r="43" ht="15.75" customHeight="1">
      <c r="F43" s="123"/>
      <c r="J43" s="32"/>
      <c r="K43" s="32"/>
    </row>
    <row r="44" ht="15.75" customHeight="1">
      <c r="F44" s="123"/>
      <c r="J44" s="32"/>
      <c r="K44" s="32"/>
    </row>
    <row r="45" ht="15.75" customHeight="1">
      <c r="F45" s="123"/>
      <c r="J45" s="32"/>
      <c r="K45" s="32"/>
    </row>
    <row r="46" ht="15.75" customHeight="1">
      <c r="F46" s="123"/>
      <c r="J46" s="32"/>
      <c r="K46" s="32"/>
    </row>
    <row r="47" ht="15.75" customHeight="1">
      <c r="F47" s="123"/>
      <c r="J47" s="32"/>
      <c r="K47" s="32"/>
    </row>
    <row r="48" ht="15.75" customHeight="1">
      <c r="F48" s="123"/>
      <c r="J48" s="32"/>
      <c r="K48" s="32"/>
    </row>
    <row r="49" ht="15.75" customHeight="1">
      <c r="F49" s="123"/>
      <c r="J49" s="32"/>
      <c r="K49" s="32"/>
    </row>
    <row r="50" ht="15.75" customHeight="1">
      <c r="F50" s="123"/>
      <c r="J50" s="32"/>
      <c r="K50" s="32"/>
    </row>
    <row r="51" ht="15.75" customHeight="1">
      <c r="F51" s="123"/>
      <c r="J51" s="32"/>
      <c r="K51" s="32"/>
    </row>
    <row r="52" ht="15.75" customHeight="1">
      <c r="F52" s="123"/>
      <c r="J52" s="32"/>
      <c r="K52" s="32"/>
    </row>
    <row r="53" ht="15.75" customHeight="1">
      <c r="F53" s="123"/>
      <c r="J53" s="32"/>
      <c r="K53" s="32"/>
    </row>
    <row r="54" ht="15.75" customHeight="1">
      <c r="F54" s="123"/>
      <c r="J54" s="32"/>
      <c r="K54" s="32"/>
    </row>
    <row r="55" ht="15.75" customHeight="1">
      <c r="F55" s="123"/>
      <c r="J55" s="32"/>
      <c r="K55" s="32"/>
    </row>
    <row r="56" ht="15.75" customHeight="1">
      <c r="F56" s="123"/>
      <c r="J56" s="32"/>
      <c r="K56" s="32"/>
    </row>
    <row r="57" ht="15.75" customHeight="1">
      <c r="F57" s="123"/>
      <c r="J57" s="32"/>
      <c r="K57" s="32"/>
    </row>
    <row r="58" ht="15.75" customHeight="1">
      <c r="F58" s="123"/>
      <c r="J58" s="32"/>
      <c r="K58" s="32"/>
    </row>
    <row r="59" ht="15.75" customHeight="1">
      <c r="F59" s="123"/>
      <c r="J59" s="32"/>
      <c r="K59" s="32"/>
    </row>
    <row r="60" ht="15.75" customHeight="1">
      <c r="F60" s="123"/>
      <c r="J60" s="32"/>
      <c r="K60" s="32"/>
    </row>
    <row r="61" ht="15.75" customHeight="1">
      <c r="F61" s="123"/>
      <c r="J61" s="32"/>
      <c r="K61" s="32"/>
    </row>
    <row r="62" ht="15.75" customHeight="1">
      <c r="F62" s="123"/>
      <c r="J62" s="32"/>
      <c r="K62" s="32"/>
    </row>
    <row r="63" ht="15.75" customHeight="1">
      <c r="F63" s="123"/>
      <c r="J63" s="32"/>
      <c r="K63" s="32"/>
    </row>
    <row r="64" ht="15.75" customHeight="1">
      <c r="F64" s="123"/>
      <c r="J64" s="32"/>
      <c r="K64" s="32"/>
    </row>
    <row r="65" ht="15.75" customHeight="1">
      <c r="F65" s="123"/>
      <c r="J65" s="32"/>
      <c r="K65" s="32"/>
    </row>
    <row r="66" ht="15.75" customHeight="1">
      <c r="F66" s="123"/>
      <c r="J66" s="32"/>
      <c r="K66" s="32"/>
    </row>
    <row r="67" ht="15.75" customHeight="1">
      <c r="F67" s="123"/>
      <c r="J67" s="32"/>
      <c r="K67" s="32"/>
    </row>
    <row r="68" ht="15.75" customHeight="1">
      <c r="F68" s="123"/>
      <c r="J68" s="32"/>
      <c r="K68" s="32"/>
    </row>
    <row r="69" ht="15.75" customHeight="1">
      <c r="F69" s="123"/>
      <c r="J69" s="32"/>
      <c r="K69" s="32"/>
    </row>
    <row r="70" ht="15.75" customHeight="1">
      <c r="F70" s="123"/>
      <c r="J70" s="32"/>
      <c r="K70" s="32"/>
    </row>
    <row r="71" ht="15.75" customHeight="1">
      <c r="F71" s="123"/>
      <c r="J71" s="32"/>
      <c r="K71" s="32"/>
    </row>
    <row r="72" ht="15.75" customHeight="1">
      <c r="F72" s="123"/>
      <c r="J72" s="32"/>
      <c r="K72" s="32"/>
    </row>
    <row r="73" ht="15.75" customHeight="1">
      <c r="F73" s="123"/>
      <c r="J73" s="32"/>
      <c r="K73" s="32"/>
    </row>
    <row r="74" ht="15.75" customHeight="1">
      <c r="F74" s="123"/>
      <c r="J74" s="32"/>
      <c r="K74" s="32"/>
    </row>
    <row r="75" ht="15.75" customHeight="1">
      <c r="F75" s="123"/>
      <c r="J75" s="32"/>
      <c r="K75" s="32"/>
    </row>
    <row r="76" ht="15.75" customHeight="1">
      <c r="F76" s="123"/>
      <c r="J76" s="32"/>
      <c r="K76" s="32"/>
    </row>
    <row r="77" ht="15.75" customHeight="1">
      <c r="F77" s="123"/>
      <c r="J77" s="32"/>
      <c r="K77" s="32"/>
    </row>
    <row r="78" ht="15.75" customHeight="1">
      <c r="F78" s="123"/>
      <c r="J78" s="32"/>
      <c r="K78" s="32"/>
    </row>
    <row r="79" ht="15.75" customHeight="1">
      <c r="F79" s="123"/>
      <c r="J79" s="32"/>
      <c r="K79" s="32"/>
    </row>
    <row r="80" ht="15.75" customHeight="1">
      <c r="F80" s="123"/>
      <c r="J80" s="32"/>
      <c r="K80" s="32"/>
    </row>
    <row r="81" ht="15.75" customHeight="1">
      <c r="F81" s="123"/>
      <c r="J81" s="32"/>
      <c r="K81" s="32"/>
    </row>
    <row r="82" ht="15.75" customHeight="1">
      <c r="F82" s="123"/>
      <c r="J82" s="32"/>
      <c r="K82" s="32"/>
    </row>
    <row r="83" ht="15.75" customHeight="1">
      <c r="F83" s="123"/>
      <c r="J83" s="32"/>
      <c r="K83" s="32"/>
    </row>
    <row r="84" ht="15.75" customHeight="1">
      <c r="F84" s="123"/>
      <c r="J84" s="32"/>
      <c r="K84" s="32"/>
    </row>
    <row r="85" ht="15.75" customHeight="1">
      <c r="F85" s="123"/>
      <c r="J85" s="32"/>
      <c r="K85" s="32"/>
    </row>
    <row r="86" ht="15.75" customHeight="1">
      <c r="F86" s="123"/>
      <c r="J86" s="32"/>
      <c r="K86" s="32"/>
    </row>
    <row r="87" ht="15.75" customHeight="1">
      <c r="F87" s="123"/>
      <c r="J87" s="32"/>
      <c r="K87" s="32"/>
    </row>
    <row r="88" ht="15.75" customHeight="1">
      <c r="F88" s="123"/>
      <c r="J88" s="32"/>
      <c r="K88" s="32"/>
    </row>
    <row r="89" ht="15.75" customHeight="1">
      <c r="F89" s="123"/>
      <c r="J89" s="32"/>
      <c r="K89" s="32"/>
    </row>
    <row r="90" ht="15.75" customHeight="1">
      <c r="F90" s="123"/>
      <c r="J90" s="32"/>
      <c r="K90" s="32"/>
    </row>
    <row r="91" ht="15.75" customHeight="1">
      <c r="F91" s="123"/>
      <c r="J91" s="32"/>
      <c r="K91" s="32"/>
    </row>
    <row r="92" ht="15.75" customHeight="1">
      <c r="F92" s="123"/>
      <c r="J92" s="32"/>
      <c r="K92" s="32"/>
    </row>
    <row r="93" ht="15.75" customHeight="1">
      <c r="F93" s="123"/>
      <c r="J93" s="32"/>
      <c r="K93" s="32"/>
    </row>
    <row r="94" ht="15.75" customHeight="1">
      <c r="F94" s="123"/>
      <c r="J94" s="32"/>
      <c r="K94" s="32"/>
    </row>
    <row r="95" ht="15.75" customHeight="1">
      <c r="F95" s="123"/>
      <c r="J95" s="32"/>
      <c r="K95" s="32"/>
    </row>
    <row r="96" ht="15.75" customHeight="1">
      <c r="F96" s="123"/>
      <c r="J96" s="32"/>
      <c r="K96" s="32"/>
    </row>
    <row r="97" ht="15.75" customHeight="1">
      <c r="F97" s="123"/>
      <c r="J97" s="32"/>
      <c r="K97" s="32"/>
    </row>
    <row r="98" ht="15.75" customHeight="1">
      <c r="F98" s="123"/>
      <c r="J98" s="32"/>
      <c r="K98" s="32"/>
    </row>
    <row r="99" ht="15.75" customHeight="1">
      <c r="F99" s="123"/>
      <c r="J99" s="32"/>
      <c r="K99" s="32"/>
    </row>
    <row r="100" ht="15.75" customHeight="1">
      <c r="F100" s="123"/>
      <c r="J100" s="32"/>
      <c r="K100" s="32"/>
    </row>
    <row r="101" ht="15.75" customHeight="1">
      <c r="F101" s="123"/>
      <c r="J101" s="32"/>
      <c r="K101" s="32"/>
    </row>
    <row r="102" ht="15.75" customHeight="1">
      <c r="F102" s="123"/>
      <c r="J102" s="32"/>
      <c r="K102" s="32"/>
    </row>
    <row r="103" ht="15.75" customHeight="1">
      <c r="F103" s="123"/>
      <c r="J103" s="32"/>
      <c r="K103" s="32"/>
    </row>
    <row r="104" ht="15.75" customHeight="1">
      <c r="F104" s="123"/>
      <c r="J104" s="32"/>
      <c r="K104" s="32"/>
    </row>
    <row r="105" ht="15.75" customHeight="1">
      <c r="F105" s="123"/>
      <c r="J105" s="32"/>
      <c r="K105" s="32"/>
    </row>
    <row r="106" ht="15.75" customHeight="1">
      <c r="F106" s="123"/>
      <c r="J106" s="32"/>
      <c r="K106" s="32"/>
    </row>
    <row r="107" ht="15.75" customHeight="1">
      <c r="F107" s="123"/>
      <c r="J107" s="32"/>
      <c r="K107" s="32"/>
    </row>
    <row r="108" ht="15.75" customHeight="1">
      <c r="F108" s="123"/>
      <c r="J108" s="32"/>
      <c r="K108" s="32"/>
    </row>
    <row r="109" ht="15.75" customHeight="1">
      <c r="F109" s="123"/>
      <c r="J109" s="32"/>
      <c r="K109" s="32"/>
    </row>
    <row r="110" ht="15.75" customHeight="1">
      <c r="F110" s="123"/>
      <c r="J110" s="32"/>
      <c r="K110" s="32"/>
    </row>
    <row r="111" ht="15.75" customHeight="1">
      <c r="F111" s="123"/>
      <c r="J111" s="32"/>
      <c r="K111" s="32"/>
    </row>
    <row r="112" ht="15.75" customHeight="1">
      <c r="F112" s="123"/>
      <c r="J112" s="32"/>
      <c r="K112" s="32"/>
    </row>
    <row r="113" ht="15.75" customHeight="1">
      <c r="F113" s="123"/>
      <c r="J113" s="32"/>
      <c r="K113" s="32"/>
    </row>
    <row r="114" ht="15.75" customHeight="1">
      <c r="F114" s="123"/>
      <c r="J114" s="32"/>
      <c r="K114" s="32"/>
    </row>
    <row r="115" ht="15.75" customHeight="1">
      <c r="F115" s="123"/>
      <c r="J115" s="32"/>
      <c r="K115" s="32"/>
    </row>
    <row r="116" ht="15.75" customHeight="1">
      <c r="F116" s="123"/>
      <c r="J116" s="32"/>
      <c r="K116" s="32"/>
    </row>
    <row r="117" ht="15.75" customHeight="1">
      <c r="F117" s="123"/>
      <c r="J117" s="32"/>
      <c r="K117" s="32"/>
    </row>
    <row r="118" ht="15.75" customHeight="1">
      <c r="F118" s="123"/>
      <c r="J118" s="32"/>
      <c r="K118" s="32"/>
    </row>
    <row r="119" ht="15.75" customHeight="1">
      <c r="F119" s="123"/>
      <c r="J119" s="32"/>
      <c r="K119" s="32"/>
    </row>
    <row r="120" ht="15.75" customHeight="1">
      <c r="F120" s="123"/>
      <c r="J120" s="32"/>
      <c r="K120" s="32"/>
    </row>
    <row r="121" ht="15.75" customHeight="1">
      <c r="F121" s="123"/>
      <c r="J121" s="32"/>
      <c r="K121" s="32"/>
    </row>
    <row r="122" ht="15.75" customHeight="1">
      <c r="F122" s="123"/>
      <c r="J122" s="32"/>
      <c r="K122" s="32"/>
    </row>
    <row r="123" ht="15.75" customHeight="1">
      <c r="F123" s="123"/>
      <c r="J123" s="32"/>
      <c r="K123" s="32"/>
    </row>
    <row r="124" ht="15.75" customHeight="1">
      <c r="F124" s="123"/>
      <c r="J124" s="32"/>
      <c r="K124" s="32"/>
    </row>
    <row r="125" ht="15.75" customHeight="1">
      <c r="F125" s="123"/>
      <c r="J125" s="32"/>
      <c r="K125" s="32"/>
    </row>
    <row r="126" ht="15.75" customHeight="1">
      <c r="F126" s="123"/>
      <c r="J126" s="32"/>
      <c r="K126" s="32"/>
    </row>
    <row r="127" ht="15.75" customHeight="1">
      <c r="F127" s="123"/>
      <c r="J127" s="32"/>
      <c r="K127" s="32"/>
    </row>
    <row r="128" ht="15.75" customHeight="1">
      <c r="F128" s="123"/>
      <c r="J128" s="32"/>
      <c r="K128" s="32"/>
    </row>
    <row r="129" ht="15.75" customHeight="1">
      <c r="F129" s="123"/>
      <c r="J129" s="32"/>
      <c r="K129" s="32"/>
    </row>
    <row r="130" ht="15.75" customHeight="1">
      <c r="F130" s="123"/>
      <c r="J130" s="32"/>
      <c r="K130" s="32"/>
    </row>
    <row r="131" ht="15.75" customHeight="1">
      <c r="F131" s="123"/>
      <c r="J131" s="32"/>
      <c r="K131" s="32"/>
    </row>
    <row r="132" ht="15.75" customHeight="1">
      <c r="F132" s="123"/>
      <c r="J132" s="32"/>
      <c r="K132" s="32"/>
    </row>
    <row r="133" ht="15.75" customHeight="1">
      <c r="F133" s="123"/>
      <c r="J133" s="32"/>
      <c r="K133" s="32"/>
    </row>
    <row r="134" ht="15.75" customHeight="1">
      <c r="F134" s="123"/>
      <c r="J134" s="32"/>
      <c r="K134" s="32"/>
    </row>
    <row r="135" ht="15.75" customHeight="1">
      <c r="F135" s="123"/>
      <c r="J135" s="32"/>
      <c r="K135" s="32"/>
    </row>
    <row r="136" ht="15.75" customHeight="1">
      <c r="F136" s="123"/>
      <c r="J136" s="32"/>
      <c r="K136" s="32"/>
    </row>
    <row r="137" ht="15.75" customHeight="1">
      <c r="F137" s="123"/>
      <c r="J137" s="32"/>
      <c r="K137" s="32"/>
    </row>
    <row r="138" ht="15.75" customHeight="1">
      <c r="F138" s="123"/>
      <c r="J138" s="32"/>
      <c r="K138" s="32"/>
    </row>
    <row r="139" ht="15.75" customHeight="1">
      <c r="F139" s="123"/>
      <c r="J139" s="32"/>
      <c r="K139" s="32"/>
    </row>
    <row r="140" ht="15.75" customHeight="1">
      <c r="F140" s="123"/>
      <c r="J140" s="32"/>
      <c r="K140" s="32"/>
    </row>
    <row r="141" ht="15.75" customHeight="1">
      <c r="F141" s="123"/>
      <c r="J141" s="32"/>
      <c r="K141" s="32"/>
    </row>
    <row r="142" ht="15.75" customHeight="1">
      <c r="F142" s="123"/>
      <c r="J142" s="32"/>
      <c r="K142" s="32"/>
    </row>
    <row r="143" ht="15.75" customHeight="1">
      <c r="F143" s="123"/>
      <c r="J143" s="32"/>
      <c r="K143" s="32"/>
    </row>
    <row r="144" ht="15.75" customHeight="1">
      <c r="F144" s="123"/>
      <c r="J144" s="32"/>
      <c r="K144" s="32"/>
    </row>
    <row r="145" ht="15.75" customHeight="1">
      <c r="F145" s="123"/>
      <c r="J145" s="32"/>
      <c r="K145" s="32"/>
    </row>
    <row r="146" ht="15.75" customHeight="1">
      <c r="F146" s="123"/>
      <c r="J146" s="32"/>
      <c r="K146" s="32"/>
    </row>
    <row r="147" ht="15.75" customHeight="1">
      <c r="F147" s="123"/>
      <c r="J147" s="32"/>
      <c r="K147" s="32"/>
    </row>
    <row r="148" ht="15.75" customHeight="1">
      <c r="F148" s="123"/>
      <c r="J148" s="32"/>
      <c r="K148" s="32"/>
    </row>
    <row r="149" ht="15.75" customHeight="1">
      <c r="F149" s="123"/>
      <c r="J149" s="32"/>
      <c r="K149" s="32"/>
    </row>
    <row r="150" ht="15.75" customHeight="1">
      <c r="F150" s="123"/>
      <c r="J150" s="32"/>
      <c r="K150" s="32"/>
    </row>
    <row r="151" ht="15.75" customHeight="1">
      <c r="F151" s="123"/>
      <c r="J151" s="32"/>
      <c r="K151" s="32"/>
    </row>
    <row r="152" ht="15.75" customHeight="1">
      <c r="F152" s="123"/>
      <c r="J152" s="32"/>
      <c r="K152" s="32"/>
    </row>
    <row r="153" ht="15.75" customHeight="1">
      <c r="F153" s="123"/>
      <c r="J153" s="32"/>
      <c r="K153" s="32"/>
    </row>
    <row r="154" ht="15.75" customHeight="1">
      <c r="F154" s="123"/>
      <c r="J154" s="32"/>
      <c r="K154" s="32"/>
    </row>
    <row r="155" ht="15.75" customHeight="1">
      <c r="F155" s="123"/>
      <c r="J155" s="32"/>
      <c r="K155" s="32"/>
    </row>
    <row r="156" ht="15.75" customHeight="1">
      <c r="F156" s="123"/>
      <c r="J156" s="32"/>
      <c r="K156" s="32"/>
    </row>
    <row r="157" ht="15.75" customHeight="1">
      <c r="F157" s="123"/>
      <c r="J157" s="32"/>
      <c r="K157" s="32"/>
    </row>
    <row r="158" ht="15.75" customHeight="1">
      <c r="F158" s="123"/>
      <c r="J158" s="32"/>
      <c r="K158" s="32"/>
    </row>
    <row r="159" ht="15.75" customHeight="1">
      <c r="F159" s="123"/>
      <c r="J159" s="32"/>
      <c r="K159" s="32"/>
    </row>
    <row r="160" ht="15.75" customHeight="1">
      <c r="F160" s="123"/>
      <c r="J160" s="32"/>
      <c r="K160" s="32"/>
    </row>
    <row r="161" ht="15.75" customHeight="1">
      <c r="F161" s="123"/>
      <c r="J161" s="32"/>
      <c r="K161" s="32"/>
    </row>
    <row r="162" ht="15.75" customHeight="1">
      <c r="F162" s="123"/>
      <c r="J162" s="32"/>
      <c r="K162" s="32"/>
    </row>
    <row r="163" ht="15.75" customHeight="1">
      <c r="F163" s="123"/>
      <c r="J163" s="32"/>
      <c r="K163" s="32"/>
    </row>
    <row r="164" ht="15.75" customHeight="1">
      <c r="F164" s="123"/>
      <c r="J164" s="32"/>
      <c r="K164" s="32"/>
    </row>
    <row r="165" ht="15.75" customHeight="1">
      <c r="F165" s="123"/>
      <c r="J165" s="32"/>
      <c r="K165" s="32"/>
    </row>
    <row r="166" ht="15.75" customHeight="1">
      <c r="F166" s="123"/>
      <c r="J166" s="32"/>
      <c r="K166" s="32"/>
    </row>
    <row r="167" ht="15.75" customHeight="1">
      <c r="F167" s="123"/>
      <c r="J167" s="32"/>
      <c r="K167" s="32"/>
    </row>
    <row r="168" ht="15.75" customHeight="1">
      <c r="F168" s="123"/>
      <c r="J168" s="32"/>
      <c r="K168" s="32"/>
    </row>
    <row r="169" ht="15.75" customHeight="1">
      <c r="F169" s="123"/>
      <c r="J169" s="32"/>
      <c r="K169" s="32"/>
    </row>
    <row r="170" ht="15.75" customHeight="1">
      <c r="F170" s="123"/>
      <c r="J170" s="32"/>
      <c r="K170" s="32"/>
    </row>
    <row r="171" ht="15.75" customHeight="1">
      <c r="F171" s="123"/>
      <c r="J171" s="32"/>
      <c r="K171" s="32"/>
    </row>
    <row r="172" ht="15.75" customHeight="1">
      <c r="F172" s="123"/>
      <c r="J172" s="32"/>
      <c r="K172" s="32"/>
    </row>
    <row r="173" ht="15.75" customHeight="1">
      <c r="F173" s="123"/>
      <c r="J173" s="32"/>
      <c r="K173" s="32"/>
    </row>
    <row r="174" ht="15.75" customHeight="1">
      <c r="F174" s="123"/>
      <c r="J174" s="32"/>
      <c r="K174" s="32"/>
    </row>
    <row r="175" ht="15.75" customHeight="1">
      <c r="F175" s="123"/>
      <c r="J175" s="32"/>
      <c r="K175" s="32"/>
    </row>
    <row r="176" ht="15.75" customHeight="1">
      <c r="F176" s="123"/>
      <c r="J176" s="32"/>
      <c r="K176" s="32"/>
    </row>
    <row r="177" ht="15.75" customHeight="1">
      <c r="F177" s="123"/>
      <c r="J177" s="32"/>
      <c r="K177" s="32"/>
    </row>
    <row r="178" ht="15.75" customHeight="1">
      <c r="F178" s="123"/>
      <c r="J178" s="32"/>
      <c r="K178" s="32"/>
    </row>
    <row r="179" ht="15.75" customHeight="1">
      <c r="F179" s="123"/>
      <c r="J179" s="32"/>
      <c r="K179" s="32"/>
    </row>
    <row r="180" ht="15.75" customHeight="1">
      <c r="F180" s="123"/>
      <c r="J180" s="32"/>
      <c r="K180" s="32"/>
    </row>
    <row r="181" ht="15.75" customHeight="1">
      <c r="F181" s="123"/>
      <c r="J181" s="32"/>
      <c r="K181" s="32"/>
    </row>
    <row r="182" ht="15.75" customHeight="1">
      <c r="F182" s="123"/>
      <c r="J182" s="32"/>
      <c r="K182" s="32"/>
    </row>
    <row r="183" ht="15.75" customHeight="1">
      <c r="F183" s="123"/>
      <c r="J183" s="32"/>
      <c r="K183" s="32"/>
    </row>
    <row r="184" ht="15.75" customHeight="1">
      <c r="F184" s="123"/>
      <c r="J184" s="32"/>
      <c r="K184" s="32"/>
    </row>
    <row r="185" ht="15.75" customHeight="1">
      <c r="F185" s="123"/>
      <c r="J185" s="32"/>
      <c r="K185" s="32"/>
    </row>
    <row r="186" ht="15.75" customHeight="1">
      <c r="F186" s="123"/>
      <c r="J186" s="32"/>
      <c r="K186" s="32"/>
    </row>
    <row r="187" ht="15.75" customHeight="1">
      <c r="F187" s="123"/>
      <c r="J187" s="32"/>
      <c r="K187" s="32"/>
    </row>
    <row r="188" ht="15.75" customHeight="1">
      <c r="F188" s="123"/>
      <c r="J188" s="32"/>
      <c r="K188" s="32"/>
    </row>
    <row r="189" ht="15.75" customHeight="1">
      <c r="F189" s="123"/>
      <c r="J189" s="32"/>
      <c r="K189" s="32"/>
    </row>
    <row r="190" ht="15.75" customHeight="1">
      <c r="F190" s="123"/>
      <c r="J190" s="32"/>
      <c r="K190" s="32"/>
    </row>
    <row r="191" ht="15.75" customHeight="1">
      <c r="F191" s="123"/>
      <c r="J191" s="32"/>
      <c r="K191" s="32"/>
    </row>
    <row r="192" ht="15.75" customHeight="1">
      <c r="F192" s="123"/>
      <c r="J192" s="32"/>
      <c r="K192" s="32"/>
    </row>
    <row r="193" ht="15.75" customHeight="1">
      <c r="F193" s="123"/>
      <c r="J193" s="32"/>
      <c r="K193" s="32"/>
    </row>
    <row r="194" ht="15.75" customHeight="1">
      <c r="F194" s="123"/>
      <c r="J194" s="32"/>
      <c r="K194" s="32"/>
    </row>
    <row r="195" ht="15.75" customHeight="1">
      <c r="F195" s="123"/>
      <c r="J195" s="32"/>
      <c r="K195" s="32"/>
    </row>
    <row r="196" ht="15.75" customHeight="1">
      <c r="F196" s="123"/>
      <c r="J196" s="32"/>
      <c r="K196" s="32"/>
    </row>
    <row r="197" ht="15.75" customHeight="1">
      <c r="F197" s="123"/>
      <c r="J197" s="32"/>
      <c r="K197" s="32"/>
    </row>
    <row r="198" ht="15.75" customHeight="1">
      <c r="F198" s="123"/>
      <c r="J198" s="32"/>
      <c r="K198" s="32"/>
    </row>
    <row r="199" ht="15.75" customHeight="1">
      <c r="F199" s="123"/>
      <c r="J199" s="32"/>
      <c r="K199" s="32"/>
    </row>
    <row r="200" ht="15.75" customHeight="1">
      <c r="F200" s="123"/>
      <c r="J200" s="32"/>
      <c r="K200" s="32"/>
    </row>
    <row r="201" ht="15.75" customHeight="1">
      <c r="F201" s="123"/>
      <c r="J201" s="32"/>
      <c r="K201" s="32"/>
    </row>
    <row r="202" ht="15.75" customHeight="1">
      <c r="F202" s="123"/>
      <c r="J202" s="32"/>
      <c r="K202" s="32"/>
    </row>
    <row r="203" ht="15.75" customHeight="1">
      <c r="F203" s="123"/>
      <c r="J203" s="32"/>
      <c r="K203" s="32"/>
    </row>
    <row r="204" ht="15.75" customHeight="1">
      <c r="F204" s="123"/>
      <c r="J204" s="32"/>
      <c r="K204" s="32"/>
    </row>
    <row r="205" ht="15.75" customHeight="1">
      <c r="F205" s="123"/>
      <c r="J205" s="32"/>
      <c r="K205" s="32"/>
    </row>
    <row r="206" ht="15.75" customHeight="1">
      <c r="F206" s="123"/>
      <c r="J206" s="32"/>
      <c r="K206" s="32"/>
    </row>
    <row r="207" ht="15.75" customHeight="1">
      <c r="F207" s="123"/>
      <c r="J207" s="32"/>
      <c r="K207" s="32"/>
    </row>
    <row r="208" ht="15.75" customHeight="1">
      <c r="F208" s="123"/>
      <c r="J208" s="32"/>
      <c r="K208" s="32"/>
    </row>
    <row r="209" ht="15.75" customHeight="1">
      <c r="F209" s="123"/>
      <c r="J209" s="32"/>
      <c r="K209" s="32"/>
    </row>
    <row r="210" ht="15.75" customHeight="1">
      <c r="F210" s="123"/>
      <c r="J210" s="32"/>
      <c r="K210" s="32"/>
    </row>
    <row r="211" ht="15.75" customHeight="1">
      <c r="F211" s="123"/>
      <c r="J211" s="32"/>
      <c r="K211" s="32"/>
    </row>
    <row r="212" ht="15.75" customHeight="1">
      <c r="F212" s="123"/>
      <c r="J212" s="32"/>
      <c r="K212" s="32"/>
    </row>
    <row r="213" ht="15.75" customHeight="1">
      <c r="F213" s="123"/>
      <c r="J213" s="32"/>
      <c r="K213" s="32"/>
    </row>
    <row r="214" ht="15.75" customHeight="1">
      <c r="F214" s="123"/>
      <c r="J214" s="32"/>
      <c r="K214" s="32"/>
    </row>
    <row r="215" ht="15.75" customHeight="1">
      <c r="F215" s="123"/>
      <c r="J215" s="32"/>
      <c r="K215" s="32"/>
    </row>
    <row r="216" ht="15.75" customHeight="1">
      <c r="F216" s="123"/>
      <c r="J216" s="32"/>
      <c r="K216" s="32"/>
    </row>
    <row r="217" ht="15.75" customHeight="1">
      <c r="F217" s="123"/>
      <c r="J217" s="32"/>
      <c r="K217" s="32"/>
    </row>
    <row r="218" ht="15.75" customHeight="1">
      <c r="F218" s="123"/>
      <c r="J218" s="32"/>
      <c r="K218" s="32"/>
    </row>
    <row r="219" ht="15.75" customHeight="1">
      <c r="F219" s="123"/>
      <c r="J219" s="32"/>
      <c r="K219" s="32"/>
    </row>
    <row r="220" ht="15.75" customHeight="1">
      <c r="F220" s="123"/>
      <c r="J220" s="32"/>
      <c r="K220" s="32"/>
    </row>
    <row r="221" ht="15.75" customHeight="1">
      <c r="F221" s="123"/>
      <c r="J221" s="32"/>
      <c r="K221" s="32"/>
    </row>
    <row r="222" ht="15.75" customHeight="1">
      <c r="F222" s="123"/>
      <c r="J222" s="32"/>
      <c r="K222" s="32"/>
    </row>
    <row r="223" ht="15.75" customHeight="1">
      <c r="F223" s="123"/>
      <c r="J223" s="32"/>
      <c r="K223" s="32"/>
    </row>
    <row r="224" ht="15.75" customHeight="1">
      <c r="F224" s="123"/>
      <c r="J224" s="32"/>
      <c r="K224" s="32"/>
    </row>
    <row r="225" ht="15.75" customHeight="1">
      <c r="F225" s="123"/>
      <c r="J225" s="32"/>
      <c r="K225" s="32"/>
    </row>
    <row r="226" ht="15.75" customHeight="1">
      <c r="F226" s="123"/>
      <c r="J226" s="32"/>
      <c r="K226" s="32"/>
    </row>
    <row r="227" ht="15.75" customHeight="1">
      <c r="F227" s="123"/>
      <c r="J227" s="32"/>
      <c r="K227" s="32"/>
    </row>
    <row r="228" ht="15.75" customHeight="1">
      <c r="F228" s="123"/>
      <c r="J228" s="32"/>
      <c r="K228" s="32"/>
    </row>
    <row r="229" ht="15.75" customHeight="1">
      <c r="F229" s="123"/>
      <c r="J229" s="32"/>
      <c r="K229" s="32"/>
    </row>
    <row r="230" ht="15.75" customHeight="1">
      <c r="F230" s="123"/>
      <c r="J230" s="32"/>
      <c r="K230" s="32"/>
    </row>
    <row r="231" ht="15.75" customHeight="1">
      <c r="F231" s="123"/>
      <c r="J231" s="32"/>
      <c r="K231" s="3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10.71"/>
    <col customWidth="1" min="18" max="18" width="14.71"/>
    <col customWidth="1" min="19" max="20" width="10.71"/>
  </cols>
  <sheetData>
    <row r="3">
      <c r="F3" s="108" t="s">
        <v>410</v>
      </c>
      <c r="I3" s="108" t="s">
        <v>411</v>
      </c>
      <c r="L3" s="108" t="s">
        <v>412</v>
      </c>
      <c r="O3" s="108" t="s">
        <v>413</v>
      </c>
      <c r="R3" s="108" t="s">
        <v>414</v>
      </c>
    </row>
    <row r="4">
      <c r="F4" s="433" t="s">
        <v>104</v>
      </c>
      <c r="G4" s="243" t="s">
        <v>415</v>
      </c>
      <c r="I4" s="433" t="s">
        <v>104</v>
      </c>
      <c r="J4" s="243" t="s">
        <v>415</v>
      </c>
      <c r="L4" s="433" t="s">
        <v>104</v>
      </c>
      <c r="M4" s="243" t="s">
        <v>415</v>
      </c>
      <c r="O4" s="433" t="s">
        <v>104</v>
      </c>
      <c r="P4" s="243" t="s">
        <v>415</v>
      </c>
      <c r="R4" s="433" t="s">
        <v>104</v>
      </c>
      <c r="S4" s="243" t="s">
        <v>415</v>
      </c>
    </row>
    <row r="5">
      <c r="F5" s="434" t="s">
        <v>416</v>
      </c>
      <c r="G5" s="435">
        <v>35.0</v>
      </c>
      <c r="I5" s="434" t="s">
        <v>416</v>
      </c>
      <c r="J5" s="435">
        <v>35.0</v>
      </c>
      <c r="L5" s="434" t="s">
        <v>417</v>
      </c>
      <c r="M5" s="435">
        <v>140.0</v>
      </c>
      <c r="O5" s="434" t="s">
        <v>417</v>
      </c>
      <c r="P5" s="435">
        <v>160.0</v>
      </c>
      <c r="R5" s="434" t="s">
        <v>417</v>
      </c>
      <c r="S5" s="435">
        <v>220.0</v>
      </c>
    </row>
    <row r="6">
      <c r="F6" s="434" t="s">
        <v>418</v>
      </c>
      <c r="G6" s="435">
        <v>50.0</v>
      </c>
      <c r="I6" s="434" t="s">
        <v>418</v>
      </c>
      <c r="J6" s="435">
        <v>50.0</v>
      </c>
      <c r="L6" s="434" t="s">
        <v>181</v>
      </c>
      <c r="M6" s="435">
        <v>200.0</v>
      </c>
      <c r="O6" s="434" t="s">
        <v>181</v>
      </c>
      <c r="P6" s="435">
        <v>220.0</v>
      </c>
      <c r="R6" s="434" t="s">
        <v>181</v>
      </c>
      <c r="S6" s="435">
        <v>250.0</v>
      </c>
    </row>
    <row r="7">
      <c r="F7" s="434" t="s">
        <v>419</v>
      </c>
      <c r="G7" s="435">
        <v>70.0</v>
      </c>
      <c r="I7" s="434" t="s">
        <v>419</v>
      </c>
      <c r="J7" s="435">
        <v>70.0</v>
      </c>
      <c r="L7" s="434" t="s">
        <v>418</v>
      </c>
      <c r="M7" s="435">
        <v>240.0</v>
      </c>
      <c r="O7" s="434" t="s">
        <v>418</v>
      </c>
      <c r="P7" s="435">
        <v>260.0</v>
      </c>
      <c r="R7" s="434" t="s">
        <v>418</v>
      </c>
      <c r="S7" s="435">
        <v>290.0</v>
      </c>
    </row>
    <row r="8">
      <c r="F8" s="436" t="s">
        <v>19</v>
      </c>
      <c r="G8" s="437">
        <v>130.0</v>
      </c>
      <c r="I8" s="436" t="s">
        <v>19</v>
      </c>
      <c r="J8" s="437">
        <v>130.0</v>
      </c>
      <c r="L8" s="434" t="s">
        <v>419</v>
      </c>
      <c r="M8" s="435">
        <v>260.0</v>
      </c>
      <c r="O8" s="434" t="s">
        <v>419</v>
      </c>
      <c r="P8" s="435">
        <v>280.0</v>
      </c>
      <c r="R8" s="434" t="s">
        <v>419</v>
      </c>
      <c r="S8" s="435">
        <v>320.0</v>
      </c>
    </row>
    <row r="9">
      <c r="F9" s="438" t="s">
        <v>420</v>
      </c>
      <c r="I9" s="438" t="s">
        <v>420</v>
      </c>
      <c r="L9" s="436" t="s">
        <v>19</v>
      </c>
      <c r="M9" s="437">
        <v>300.0</v>
      </c>
      <c r="O9" s="436" t="s">
        <v>19</v>
      </c>
      <c r="P9" s="437">
        <v>375.0</v>
      </c>
      <c r="R9" s="436" t="s">
        <v>19</v>
      </c>
      <c r="S9" s="437">
        <v>485.0</v>
      </c>
    </row>
    <row r="10">
      <c r="F10" s="438"/>
      <c r="L10" s="438" t="s">
        <v>421</v>
      </c>
      <c r="O10" s="438" t="s">
        <v>421</v>
      </c>
      <c r="R10" s="109" t="s">
        <v>422</v>
      </c>
    </row>
    <row r="11">
      <c r="L11" s="438" t="s">
        <v>423</v>
      </c>
      <c r="O11" s="438"/>
      <c r="R11" s="109" t="s">
        <v>424</v>
      </c>
    </row>
    <row r="12">
      <c r="J12" s="3">
        <f>130*10</f>
        <v>1300</v>
      </c>
      <c r="L12" s="438" t="s">
        <v>425</v>
      </c>
      <c r="R12" s="109" t="s">
        <v>426</v>
      </c>
    </row>
    <row r="13">
      <c r="R13" s="438" t="s">
        <v>427</v>
      </c>
    </row>
    <row r="14">
      <c r="G14" s="3" t="s">
        <v>428</v>
      </c>
    </row>
    <row r="19">
      <c r="F19" s="107" t="s">
        <v>429</v>
      </c>
      <c r="G19" s="107"/>
      <c r="I19" s="107" t="s">
        <v>430</v>
      </c>
      <c r="J19" s="107"/>
      <c r="M19" s="107" t="s">
        <v>431</v>
      </c>
      <c r="N19" s="3" t="s">
        <v>432</v>
      </c>
    </row>
    <row r="20">
      <c r="F20" s="433" t="s">
        <v>104</v>
      </c>
      <c r="G20" s="243" t="s">
        <v>415</v>
      </c>
      <c r="I20" s="433" t="s">
        <v>104</v>
      </c>
      <c r="J20" s="243" t="s">
        <v>415</v>
      </c>
      <c r="M20" s="3" t="s">
        <v>433</v>
      </c>
      <c r="N20" s="3">
        <v>5.0</v>
      </c>
    </row>
    <row r="21" ht="15.75" customHeight="1">
      <c r="F21" s="434" t="s">
        <v>416</v>
      </c>
      <c r="G21" s="435">
        <v>150.0</v>
      </c>
      <c r="I21" s="434" t="s">
        <v>416</v>
      </c>
      <c r="J21" s="435">
        <v>190.0</v>
      </c>
      <c r="M21" s="3" t="s">
        <v>434</v>
      </c>
      <c r="N21" s="3">
        <v>4.0</v>
      </c>
    </row>
    <row r="22" ht="15.75" customHeight="1">
      <c r="F22" s="434" t="s">
        <v>418</v>
      </c>
      <c r="G22" s="435">
        <v>180.0</v>
      </c>
      <c r="I22" s="434" t="s">
        <v>418</v>
      </c>
      <c r="J22" s="435">
        <v>220.0</v>
      </c>
      <c r="M22" s="3" t="s">
        <v>186</v>
      </c>
      <c r="N22" s="3">
        <v>3.25</v>
      </c>
    </row>
    <row r="23" ht="15.75" customHeight="1">
      <c r="F23" s="434" t="s">
        <v>419</v>
      </c>
      <c r="G23" s="435">
        <v>210.0</v>
      </c>
      <c r="I23" s="434" t="s">
        <v>419</v>
      </c>
      <c r="J23" s="435">
        <v>250.0</v>
      </c>
      <c r="M23" s="3" t="s">
        <v>181</v>
      </c>
      <c r="N23" s="3">
        <v>3.0</v>
      </c>
    </row>
    <row r="24" ht="15.75" customHeight="1">
      <c r="F24" s="436" t="s">
        <v>19</v>
      </c>
      <c r="G24" s="437">
        <v>230.0</v>
      </c>
      <c r="I24" s="436" t="s">
        <v>19</v>
      </c>
      <c r="J24" s="437">
        <v>275.0</v>
      </c>
      <c r="M24" s="3" t="s">
        <v>418</v>
      </c>
      <c r="N24" s="3">
        <v>2.5</v>
      </c>
    </row>
    <row r="25" ht="15.75" customHeight="1">
      <c r="F25" s="109" t="s">
        <v>435</v>
      </c>
      <c r="M25" s="3" t="s">
        <v>419</v>
      </c>
      <c r="N25" s="3">
        <v>2.2</v>
      </c>
    </row>
    <row r="26" ht="15.75" customHeight="1">
      <c r="F26" s="109" t="s">
        <v>436</v>
      </c>
      <c r="M26" s="3" t="s">
        <v>19</v>
      </c>
      <c r="N26" s="3">
        <v>2.0</v>
      </c>
    </row>
    <row r="27" ht="15.75" customHeight="1"/>
    <row r="28" ht="15.75" customHeight="1">
      <c r="F28" s="439" t="s">
        <v>437</v>
      </c>
    </row>
    <row r="29" ht="15.75" customHeight="1"/>
    <row r="30" ht="15.75" customHeight="1"/>
    <row r="31" ht="15.75" customHeight="1"/>
    <row r="32" ht="15.75" customHeight="1"/>
    <row r="33" ht="15.75" customHeight="1">
      <c r="F33" s="3" t="s">
        <v>438</v>
      </c>
    </row>
    <row r="34" ht="15.75" customHeight="1">
      <c r="G34" s="3" t="s">
        <v>439</v>
      </c>
      <c r="S34" s="107" t="s">
        <v>440</v>
      </c>
    </row>
    <row r="35" ht="15.75" customHeight="1">
      <c r="G35" s="3" t="s">
        <v>441</v>
      </c>
      <c r="S35" s="3" t="s">
        <v>442</v>
      </c>
    </row>
    <row r="36" ht="15.75" customHeight="1">
      <c r="G36" s="3" t="s">
        <v>443</v>
      </c>
      <c r="S36" s="434" t="s">
        <v>444</v>
      </c>
      <c r="T36" s="336"/>
    </row>
    <row r="37" ht="15.75" customHeight="1">
      <c r="H37" s="440" t="s">
        <v>445</v>
      </c>
      <c r="I37" s="441"/>
      <c r="J37" s="441"/>
      <c r="K37" s="442"/>
      <c r="N37" s="443" t="s">
        <v>295</v>
      </c>
      <c r="O37" s="444" t="s">
        <v>266</v>
      </c>
      <c r="P37" s="441"/>
      <c r="Q37" s="442"/>
    </row>
    <row r="38" ht="15.75" customHeight="1">
      <c r="G38" s="445" t="s">
        <v>104</v>
      </c>
      <c r="H38" s="446" t="s">
        <v>446</v>
      </c>
      <c r="I38" s="447" t="s">
        <v>447</v>
      </c>
      <c r="J38" s="447" t="s">
        <v>448</v>
      </c>
      <c r="K38" s="447" t="s">
        <v>449</v>
      </c>
      <c r="N38" s="446" t="s">
        <v>297</v>
      </c>
      <c r="O38" s="446" t="s">
        <v>10</v>
      </c>
      <c r="P38" s="448" t="s">
        <v>450</v>
      </c>
      <c r="Q38" s="446" t="s">
        <v>451</v>
      </c>
      <c r="S38" s="449" t="s">
        <v>104</v>
      </c>
      <c r="T38" s="450" t="s">
        <v>452</v>
      </c>
    </row>
    <row r="39" ht="15.75" customHeight="1">
      <c r="G39" s="445">
        <v>1.0</v>
      </c>
      <c r="H39" s="451">
        <v>21.5</v>
      </c>
      <c r="I39" s="452">
        <v>19.0</v>
      </c>
      <c r="J39" s="452">
        <v>16.0</v>
      </c>
      <c r="K39" s="452">
        <v>14.0</v>
      </c>
      <c r="N39" s="445">
        <v>1.0</v>
      </c>
      <c r="O39" s="451">
        <v>19.6</v>
      </c>
      <c r="P39" s="452">
        <v>31.6</v>
      </c>
      <c r="Q39" s="452">
        <v>22.0</v>
      </c>
      <c r="S39" s="453">
        <v>1.0</v>
      </c>
      <c r="T39" s="454">
        <v>12.0</v>
      </c>
    </row>
    <row r="40" ht="15.75" customHeight="1">
      <c r="G40" s="445" t="s">
        <v>453</v>
      </c>
      <c r="H40" s="451">
        <v>18.0</v>
      </c>
      <c r="I40" s="452">
        <v>16.0</v>
      </c>
      <c r="J40" s="452">
        <v>14.0</v>
      </c>
      <c r="K40" s="452">
        <v>10.0</v>
      </c>
      <c r="N40" s="445" t="s">
        <v>179</v>
      </c>
      <c r="O40" s="451">
        <v>17.8</v>
      </c>
      <c r="P40" s="452">
        <v>28.0</v>
      </c>
      <c r="Q40" s="452">
        <v>17.0</v>
      </c>
      <c r="S40" s="455" t="s">
        <v>453</v>
      </c>
      <c r="T40" s="435">
        <v>10.0</v>
      </c>
    </row>
    <row r="41" ht="15.75" customHeight="1">
      <c r="G41" s="445" t="s">
        <v>454</v>
      </c>
      <c r="H41" s="451">
        <v>16.0</v>
      </c>
      <c r="I41" s="452">
        <v>14.0</v>
      </c>
      <c r="J41" s="452">
        <v>11.0</v>
      </c>
      <c r="K41" s="452">
        <v>6.5</v>
      </c>
      <c r="N41" s="445" t="s">
        <v>180</v>
      </c>
      <c r="O41" s="451">
        <v>16.9</v>
      </c>
      <c r="P41" s="452">
        <v>25.0</v>
      </c>
      <c r="Q41" s="452">
        <v>15.0</v>
      </c>
      <c r="S41" s="455" t="s">
        <v>454</v>
      </c>
      <c r="T41" s="435">
        <v>9.0</v>
      </c>
    </row>
    <row r="42" ht="15.75" customHeight="1">
      <c r="G42" s="445" t="s">
        <v>180</v>
      </c>
      <c r="H42" s="451">
        <v>12.5</v>
      </c>
      <c r="I42" s="452">
        <v>9.5</v>
      </c>
      <c r="J42" s="452">
        <v>7.0</v>
      </c>
      <c r="K42" s="452">
        <v>4.0</v>
      </c>
      <c r="N42" s="445" t="s">
        <v>181</v>
      </c>
      <c r="O42" s="451">
        <v>16.75</v>
      </c>
      <c r="P42" s="452">
        <v>23.75</v>
      </c>
      <c r="Q42" s="452">
        <v>13.5</v>
      </c>
      <c r="S42" s="455" t="s">
        <v>180</v>
      </c>
      <c r="T42" s="435">
        <v>8.0</v>
      </c>
    </row>
    <row r="43" ht="15.75" customHeight="1">
      <c r="G43" s="445" t="s">
        <v>181</v>
      </c>
      <c r="H43" s="451">
        <v>9.5</v>
      </c>
      <c r="I43" s="452">
        <v>7.0</v>
      </c>
      <c r="J43" s="452">
        <v>5.0</v>
      </c>
      <c r="K43" s="452">
        <v>3.0</v>
      </c>
      <c r="N43" s="445" t="s">
        <v>182</v>
      </c>
      <c r="O43" s="451">
        <v>16.6</v>
      </c>
      <c r="P43" s="452">
        <v>22.6</v>
      </c>
      <c r="Q43" s="452">
        <v>12.0</v>
      </c>
      <c r="S43" s="455" t="s">
        <v>181</v>
      </c>
      <c r="T43" s="435">
        <v>7.0</v>
      </c>
    </row>
    <row r="44" ht="15.75" customHeight="1">
      <c r="G44" s="445" t="s">
        <v>42</v>
      </c>
      <c r="H44" s="451">
        <v>5.0</v>
      </c>
      <c r="I44" s="452">
        <v>4.0</v>
      </c>
      <c r="J44" s="452">
        <v>3.0</v>
      </c>
      <c r="K44" s="452">
        <v>2.0</v>
      </c>
      <c r="N44" s="445" t="s">
        <v>18</v>
      </c>
      <c r="O44" s="451">
        <v>16.450000000000003</v>
      </c>
      <c r="P44" s="452">
        <v>22.45</v>
      </c>
      <c r="Q44" s="452">
        <v>11.0</v>
      </c>
      <c r="S44" s="455" t="s">
        <v>42</v>
      </c>
      <c r="T44" s="435">
        <v>6.0</v>
      </c>
    </row>
    <row r="45" ht="15.75" customHeight="1">
      <c r="G45" s="3" t="s">
        <v>455</v>
      </c>
      <c r="N45" s="445" t="s">
        <v>19</v>
      </c>
      <c r="O45" s="451">
        <v>16.3</v>
      </c>
      <c r="P45" s="451">
        <v>21.0</v>
      </c>
      <c r="Q45" s="451">
        <v>10.0</v>
      </c>
      <c r="S45" s="356" t="s">
        <v>19</v>
      </c>
      <c r="T45" s="437">
        <v>5.0</v>
      </c>
    </row>
    <row r="46" ht="15.75" customHeight="1">
      <c r="G46" s="3" t="s">
        <v>456</v>
      </c>
    </row>
    <row r="47" ht="15.75" customHeight="1"/>
    <row r="48" ht="15.75" customHeight="1">
      <c r="S48" s="107" t="s">
        <v>457</v>
      </c>
    </row>
    <row r="49" ht="15.75" customHeight="1">
      <c r="N49" s="3" t="s">
        <v>458</v>
      </c>
    </row>
    <row r="50" ht="15.75" customHeight="1">
      <c r="T50" s="450" t="s">
        <v>459</v>
      </c>
    </row>
    <row r="51" ht="15.75" customHeight="1">
      <c r="N51" s="3" t="s">
        <v>460</v>
      </c>
      <c r="S51" s="449" t="s">
        <v>104</v>
      </c>
      <c r="T51" s="3" t="s">
        <v>461</v>
      </c>
    </row>
    <row r="52" ht="15.75" customHeight="1">
      <c r="N52" s="3" t="s">
        <v>462</v>
      </c>
      <c r="S52" s="453">
        <v>1.0</v>
      </c>
      <c r="T52" s="456">
        <v>10.0</v>
      </c>
    </row>
    <row r="53" ht="15.75" customHeight="1">
      <c r="S53" s="455" t="s">
        <v>453</v>
      </c>
      <c r="T53" s="456">
        <v>5.0</v>
      </c>
    </row>
    <row r="54" ht="15.75" customHeight="1">
      <c r="S54" s="455" t="s">
        <v>454</v>
      </c>
      <c r="T54" s="456">
        <v>3.5</v>
      </c>
    </row>
    <row r="55" ht="15.75" customHeight="1">
      <c r="S55" s="455" t="s">
        <v>180</v>
      </c>
      <c r="T55" s="456">
        <v>3.0</v>
      </c>
    </row>
    <row r="56" ht="15.75" customHeight="1">
      <c r="S56" s="455" t="s">
        <v>181</v>
      </c>
      <c r="T56" s="456">
        <v>2.5</v>
      </c>
    </row>
    <row r="57" ht="15.75" customHeight="1">
      <c r="S57" s="455" t="s">
        <v>42</v>
      </c>
      <c r="T57" s="456">
        <v>2.3</v>
      </c>
    </row>
    <row r="58" ht="15.75" customHeight="1">
      <c r="S58" s="356" t="s">
        <v>19</v>
      </c>
      <c r="T58" s="456">
        <v>1.8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37:K37"/>
    <mergeCell ref="O37:Q37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1.71"/>
    <col customWidth="1" min="3" max="8" width="11.57"/>
    <col customWidth="1" min="9" max="11" width="13.29"/>
    <col customWidth="1" min="12" max="26" width="10.43"/>
  </cols>
  <sheetData>
    <row r="1">
      <c r="A1" s="3"/>
      <c r="B1" s="3">
        <v>46.0</v>
      </c>
      <c r="C1" s="3">
        <v>39.0</v>
      </c>
      <c r="D1" s="3">
        <f>B1*C1</f>
        <v>1794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3"/>
      <c r="B2" s="3"/>
      <c r="C2" s="3"/>
      <c r="D2" s="3"/>
      <c r="E2" s="3"/>
      <c r="F2" s="3"/>
      <c r="G2" s="3"/>
      <c r="H2" s="3">
        <v>0.75</v>
      </c>
      <c r="I2" s="3"/>
      <c r="J2" s="3"/>
      <c r="K2" s="3"/>
      <c r="L2" s="3"/>
      <c r="M2" s="3"/>
      <c r="N2" s="3"/>
    </row>
    <row r="3">
      <c r="A3" s="3" t="s">
        <v>16</v>
      </c>
      <c r="B3" s="457" t="s">
        <v>463</v>
      </c>
      <c r="C3" s="11"/>
      <c r="D3" s="12"/>
      <c r="E3" s="458" t="s">
        <v>464</v>
      </c>
      <c r="F3" s="11"/>
      <c r="G3" s="12"/>
      <c r="H3" s="459" t="s">
        <v>465</v>
      </c>
      <c r="I3" s="460"/>
      <c r="J3" s="461" t="s">
        <v>466</v>
      </c>
      <c r="K3" s="462"/>
      <c r="L3" s="3"/>
      <c r="M3" s="3"/>
      <c r="N3" s="3"/>
    </row>
    <row r="4">
      <c r="A4" s="3"/>
      <c r="B4" s="463" t="s">
        <v>10</v>
      </c>
      <c r="C4" s="464" t="s">
        <v>467</v>
      </c>
      <c r="D4" s="465" t="s">
        <v>11</v>
      </c>
      <c r="E4" s="466" t="s">
        <v>10</v>
      </c>
      <c r="F4" s="464" t="s">
        <v>467</v>
      </c>
      <c r="G4" s="465" t="s">
        <v>11</v>
      </c>
      <c r="H4" s="466" t="s">
        <v>10</v>
      </c>
      <c r="I4" s="465" t="s">
        <v>11</v>
      </c>
      <c r="J4" s="466" t="s">
        <v>10</v>
      </c>
      <c r="K4" s="465" t="s">
        <v>11</v>
      </c>
      <c r="L4" s="3"/>
      <c r="M4" s="3"/>
      <c r="N4" s="3"/>
    </row>
    <row r="5">
      <c r="A5" s="3">
        <v>500.0</v>
      </c>
      <c r="B5" s="467">
        <f>(D1*B8)+E8+F8</f>
        <v>506094.82</v>
      </c>
      <c r="C5" s="467">
        <f>(D1*C8)+E8+F8</f>
        <v>548917.6</v>
      </c>
      <c r="D5" s="467">
        <f>(D1*D8)+E8+F8</f>
        <v>564346</v>
      </c>
      <c r="E5" s="468">
        <f>(D1*B8)+E8+$F$8</f>
        <v>506094.82</v>
      </c>
      <c r="F5" s="468">
        <f>(D1*C8)+E8+$F$8</f>
        <v>548917.6</v>
      </c>
      <c r="G5" s="468">
        <f>(D1*D8)+F8+$E$8</f>
        <v>564346</v>
      </c>
      <c r="H5" s="468">
        <f>I5*H2</f>
        <v>583871.835</v>
      </c>
      <c r="I5" s="468">
        <f>(D1*H8)+F8+$E$8</f>
        <v>778495.78</v>
      </c>
      <c r="J5" s="468">
        <f>(D1*J8)+F8+$E$8</f>
        <v>1075546.3</v>
      </c>
      <c r="K5" s="468">
        <f>(D1*K8)+F8+$E$8</f>
        <v>1233777.1</v>
      </c>
      <c r="L5" s="3"/>
      <c r="M5" s="3"/>
      <c r="N5" s="3"/>
    </row>
    <row r="6">
      <c r="A6" s="3">
        <v>1000.0</v>
      </c>
      <c r="B6" s="469">
        <f>(D1*B9)+E9+F9</f>
        <v>805027.8</v>
      </c>
      <c r="C6" s="469">
        <f>(D1*C9)+E9+F9</f>
        <v>902370.24</v>
      </c>
      <c r="D6" s="469">
        <f>(D1*D9)+E9+F9</f>
        <v>902370.24</v>
      </c>
      <c r="E6" s="470">
        <f>(D1*B9)+E9+$F$9</f>
        <v>805027.8</v>
      </c>
      <c r="F6" s="470">
        <f>(D1*C9)+E9+$F$9</f>
        <v>902370.24</v>
      </c>
      <c r="G6" s="470">
        <f>(D1*D9)+F9+$E$9</f>
        <v>902370.24</v>
      </c>
      <c r="H6" s="470">
        <f>I6*H2</f>
        <v>816292.575</v>
      </c>
      <c r="I6" s="470">
        <f>(D1*H9)+F9+$E$9</f>
        <v>1088390.1</v>
      </c>
      <c r="J6" s="470">
        <f>(D1*J9)+F9+$E$9</f>
        <v>1358010.36</v>
      </c>
      <c r="K6" s="470">
        <f>(D1*K9)+F9+$E$9</f>
        <v>1554973.62</v>
      </c>
      <c r="L6" s="3"/>
      <c r="M6" s="3"/>
      <c r="N6" s="3"/>
    </row>
    <row r="7">
      <c r="A7" s="3"/>
      <c r="B7" s="3"/>
      <c r="C7" s="3"/>
      <c r="D7" s="3"/>
      <c r="E7" s="3" t="s">
        <v>367</v>
      </c>
      <c r="F7" s="3" t="s">
        <v>468</v>
      </c>
      <c r="G7" s="3"/>
      <c r="H7" s="3"/>
      <c r="I7" s="3"/>
      <c r="J7" s="3"/>
      <c r="K7" s="3"/>
      <c r="L7" s="3"/>
      <c r="M7" s="3"/>
      <c r="N7" s="3"/>
    </row>
    <row r="8">
      <c r="A8" s="3">
        <v>500.0</v>
      </c>
      <c r="B8" s="3">
        <v>276.53</v>
      </c>
      <c r="C8" s="3">
        <v>300.4</v>
      </c>
      <c r="D8" s="3">
        <v>309.0</v>
      </c>
      <c r="E8" s="3">
        <v>5000.0</v>
      </c>
      <c r="F8" s="3">
        <v>5000.0</v>
      </c>
      <c r="G8" s="3"/>
      <c r="H8" s="3">
        <v>428.37</v>
      </c>
      <c r="I8" s="3"/>
      <c r="J8" s="3">
        <v>593.95</v>
      </c>
      <c r="K8" s="3">
        <v>682.15</v>
      </c>
      <c r="L8" s="3"/>
      <c r="M8" s="3"/>
      <c r="N8" s="3"/>
    </row>
    <row r="9">
      <c r="A9" s="3">
        <v>1000.0</v>
      </c>
      <c r="B9" s="3">
        <v>438.7</v>
      </c>
      <c r="C9" s="3">
        <v>492.96</v>
      </c>
      <c r="D9" s="3">
        <v>492.96</v>
      </c>
      <c r="E9" s="3">
        <v>8000.0</v>
      </c>
      <c r="F9" s="3">
        <v>10000.0</v>
      </c>
      <c r="G9" s="3"/>
      <c r="H9" s="3">
        <v>596.65</v>
      </c>
      <c r="I9" s="3"/>
      <c r="J9" s="3">
        <v>746.94</v>
      </c>
      <c r="K9" s="3">
        <v>856.73</v>
      </c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>
        <v>48.0</v>
      </c>
      <c r="C12" s="3">
        <v>45.0</v>
      </c>
      <c r="D12" s="3">
        <f>B12*C12</f>
        <v>2160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 t="s">
        <v>469</v>
      </c>
      <c r="B14" s="457" t="s">
        <v>470</v>
      </c>
      <c r="C14" s="11"/>
      <c r="D14" s="12"/>
      <c r="E14" s="458" t="s">
        <v>464</v>
      </c>
      <c r="F14" s="11"/>
      <c r="G14" s="12"/>
      <c r="H14" s="459" t="s">
        <v>465</v>
      </c>
      <c r="I14" s="460"/>
      <c r="J14" s="461" t="s">
        <v>466</v>
      </c>
      <c r="K14" s="462"/>
      <c r="L14" s="3"/>
      <c r="M14" s="3"/>
      <c r="N14" s="3"/>
    </row>
    <row r="15">
      <c r="A15" s="3"/>
      <c r="B15" s="471" t="s">
        <v>10</v>
      </c>
      <c r="C15" s="472" t="s">
        <v>467</v>
      </c>
      <c r="D15" s="472" t="s">
        <v>11</v>
      </c>
      <c r="E15" s="471" t="s">
        <v>10</v>
      </c>
      <c r="F15" s="472" t="s">
        <v>467</v>
      </c>
      <c r="G15" s="472" t="s">
        <v>11</v>
      </c>
      <c r="H15" s="471" t="s">
        <v>10</v>
      </c>
      <c r="I15" s="472" t="s">
        <v>11</v>
      </c>
      <c r="J15" s="471" t="s">
        <v>10</v>
      </c>
      <c r="K15" s="472" t="s">
        <v>11</v>
      </c>
      <c r="L15" s="3"/>
      <c r="M15" s="3"/>
      <c r="N15" s="3"/>
    </row>
    <row r="16">
      <c r="A16" s="3">
        <v>500.0</v>
      </c>
      <c r="B16" s="473">
        <f>(D12*B19)+E19+F19</f>
        <v>607304.8</v>
      </c>
      <c r="C16" s="473">
        <f>(D12*C19)+E19+F19</f>
        <v>658864</v>
      </c>
      <c r="D16" s="473">
        <f>(D12*D19)+E19+F19</f>
        <v>677440</v>
      </c>
      <c r="E16" s="473">
        <f>(D12*B19)+E19+$F$8</f>
        <v>607304.8</v>
      </c>
      <c r="F16" s="473">
        <f>(D12*C19)+E19+$F$8</f>
        <v>658864</v>
      </c>
      <c r="G16" s="473">
        <f>(D12*D19)+F19+$E$8</f>
        <v>677440</v>
      </c>
      <c r="H16" s="473">
        <f>I16*H2</f>
        <v>701459.4</v>
      </c>
      <c r="I16" s="468">
        <f>(D12*H19)+F19+$E$8</f>
        <v>935279.2</v>
      </c>
      <c r="J16" s="473">
        <f>(D12*J19)+F19+$E$8</f>
        <v>1292932</v>
      </c>
      <c r="K16" s="473">
        <f>(D12*K19)+F19+$E$8</f>
        <v>1483444</v>
      </c>
      <c r="L16" s="3"/>
      <c r="M16" s="3"/>
      <c r="N16" s="3"/>
    </row>
    <row r="17">
      <c r="A17" s="3">
        <v>1000.0</v>
      </c>
      <c r="B17" s="473">
        <f>(D12*B20)+E20+F20</f>
        <v>965592</v>
      </c>
      <c r="C17" s="473">
        <f>(D12*C20)+E20+F20</f>
        <v>1082793.6</v>
      </c>
      <c r="D17" s="473">
        <f>(D12*D20)+E20+F20</f>
        <v>1082793.6</v>
      </c>
      <c r="E17" s="473">
        <f>(D12*B20)+E20+$F$9</f>
        <v>965592</v>
      </c>
      <c r="F17" s="473">
        <f>(D12*C20)+E20+$F$9</f>
        <v>1082793.6</v>
      </c>
      <c r="G17" s="473">
        <f>(D12*D20)+F20+$E$9</f>
        <v>1082793.6</v>
      </c>
      <c r="H17" s="473">
        <f>I17*H2</f>
        <v>980073</v>
      </c>
      <c r="I17" s="473">
        <f>(D12*H20)+F20+$E$9</f>
        <v>1306764</v>
      </c>
      <c r="J17" s="473">
        <f>(D12*J20)+F20+$E$9</f>
        <v>1631390.4</v>
      </c>
      <c r="K17" s="473">
        <f>(D12*K20)+F20+$E$9</f>
        <v>1868536.8</v>
      </c>
      <c r="L17" s="3"/>
      <c r="M17" s="3"/>
      <c r="N17" s="3"/>
    </row>
    <row r="18">
      <c r="A18" s="3"/>
      <c r="B18" s="3"/>
      <c r="C18" s="3"/>
      <c r="D18" s="3"/>
      <c r="E18" s="3" t="s">
        <v>367</v>
      </c>
      <c r="F18" s="3" t="s">
        <v>468</v>
      </c>
      <c r="G18" s="3"/>
      <c r="H18" s="3"/>
      <c r="I18" s="3"/>
      <c r="J18" s="3"/>
      <c r="K18" s="3"/>
      <c r="L18" s="3"/>
      <c r="M18" s="3"/>
      <c r="N18" s="3"/>
    </row>
    <row r="19">
      <c r="A19" s="3">
        <v>500.0</v>
      </c>
      <c r="B19" s="3">
        <v>276.53</v>
      </c>
      <c r="C19" s="3">
        <v>300.4</v>
      </c>
      <c r="D19" s="3">
        <v>309.0</v>
      </c>
      <c r="E19" s="3">
        <v>5000.0</v>
      </c>
      <c r="F19" s="3">
        <v>5000.0</v>
      </c>
      <c r="G19" s="3"/>
      <c r="H19" s="3">
        <v>428.37</v>
      </c>
      <c r="I19" s="3"/>
      <c r="J19" s="3">
        <v>593.95</v>
      </c>
      <c r="K19" s="3">
        <v>682.15</v>
      </c>
      <c r="L19" s="3"/>
      <c r="M19" s="3"/>
      <c r="N19" s="3"/>
    </row>
    <row r="20">
      <c r="A20" s="3">
        <v>1000.0</v>
      </c>
      <c r="B20" s="3">
        <v>438.7</v>
      </c>
      <c r="C20" s="3">
        <v>492.96</v>
      </c>
      <c r="D20" s="3">
        <v>492.96</v>
      </c>
      <c r="E20" s="3">
        <v>8000.0</v>
      </c>
      <c r="F20" s="3">
        <v>10000.0</v>
      </c>
      <c r="G20" s="3"/>
      <c r="H20" s="3">
        <v>596.65</v>
      </c>
      <c r="I20" s="3"/>
      <c r="J20" s="3">
        <v>746.94</v>
      </c>
      <c r="K20" s="3">
        <v>856.73</v>
      </c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R23" s="131" t="str">
        <f>Laminado!C6</f>
        <v>brillo</v>
      </c>
      <c r="S23" s="131" t="str">
        <f>Laminado!D6</f>
        <v>mate</v>
      </c>
      <c r="T23" s="131" t="str">
        <f>Laminado!E6</f>
        <v>Laca UV</v>
      </c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R24" s="123">
        <f>Laminado!C7</f>
        <v>163.5152453</v>
      </c>
      <c r="S24" s="123">
        <f>Laminado!D7</f>
        <v>189.6776846</v>
      </c>
      <c r="T24" s="123">
        <f>Laminado!E7</f>
        <v>136.2627045</v>
      </c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R25" s="123">
        <f>Laminado!C8</f>
        <v>151.2516019</v>
      </c>
      <c r="S25" s="123">
        <f>Laminado!D8</f>
        <v>175.4518583</v>
      </c>
      <c r="T25" s="123">
        <f>Laminado!E8</f>
        <v>126.0430016</v>
      </c>
    </row>
    <row r="26" ht="15.75" customHeight="1">
      <c r="A26" s="3"/>
      <c r="B26" s="3">
        <v>1130.4708614961305</v>
      </c>
      <c r="C26" s="3">
        <v>1313.188228071721</v>
      </c>
      <c r="D26" s="3">
        <v>1476.5940030580211</v>
      </c>
      <c r="E26" s="3">
        <v>1884.1181024935513</v>
      </c>
      <c r="F26" s="3">
        <v>2188.6470467862023</v>
      </c>
      <c r="G26" s="3">
        <v>2460.9900050967017</v>
      </c>
      <c r="H26" s="3">
        <v>3079.9512739842025</v>
      </c>
      <c r="I26" s="3">
        <v>4246.074304568252</v>
      </c>
      <c r="J26" s="3"/>
      <c r="K26" s="3"/>
      <c r="L26" s="3"/>
      <c r="M26" s="3"/>
      <c r="N26" s="3"/>
      <c r="R26" s="123">
        <f>Laminado!C9</f>
        <v>138.9879585</v>
      </c>
      <c r="S26" s="123">
        <f>Laminado!D9</f>
        <v>161.2260319</v>
      </c>
      <c r="T26" s="123">
        <f>Laminado!E9</f>
        <v>115.8232988</v>
      </c>
    </row>
    <row r="27" ht="15.75" customHeight="1">
      <c r="A27" s="3"/>
      <c r="B27" s="3">
        <v>1744.7947878832258</v>
      </c>
      <c r="C27" s="3">
        <v>2093.7537454598696</v>
      </c>
      <c r="D27" s="3">
        <v>2257.9697254959387</v>
      </c>
      <c r="E27" s="3">
        <v>2907.991313138709</v>
      </c>
      <c r="F27" s="3">
        <v>3489.5895757664503</v>
      </c>
      <c r="G27" s="3">
        <v>3763.2828758265646</v>
      </c>
      <c r="H27" s="3">
        <v>3622.1613455296533</v>
      </c>
      <c r="I27" s="3">
        <v>5092.813320406353</v>
      </c>
      <c r="J27" s="3"/>
      <c r="K27" s="3">
        <v>98.04346499178007</v>
      </c>
      <c r="L27" s="3">
        <v>112.60143403601408</v>
      </c>
      <c r="M27" s="3">
        <v>123.29708476239011</v>
      </c>
      <c r="N27" s="3">
        <v>141.4202707154161</v>
      </c>
      <c r="R27" s="123">
        <f>Laminado!C10</f>
        <v>126.7243151</v>
      </c>
      <c r="S27" s="123">
        <f>Laminado!D10</f>
        <v>147.0002056</v>
      </c>
      <c r="T27" s="123">
        <f>Laminado!E10</f>
        <v>105.603596</v>
      </c>
    </row>
    <row r="28" ht="15.75" customHeight="1">
      <c r="A28" s="3"/>
      <c r="B28" s="3">
        <v>42.046449787742844</v>
      </c>
      <c r="C28" s="3">
        <v>48.85833325713474</v>
      </c>
      <c r="D28" s="3">
        <v>50.21549011693695</v>
      </c>
      <c r="E28" s="3">
        <v>70.07741631290473</v>
      </c>
      <c r="F28" s="3">
        <v>81.43055542855791</v>
      </c>
      <c r="G28" s="3">
        <v>83.69248352822825</v>
      </c>
      <c r="H28" s="3">
        <v>78.76158354339667</v>
      </c>
      <c r="I28" s="3">
        <v>110.29889811575259</v>
      </c>
      <c r="J28" s="3"/>
      <c r="K28" s="3"/>
      <c r="L28" s="3"/>
      <c r="M28" s="3"/>
      <c r="N28" s="3"/>
      <c r="R28" s="123">
        <f>Laminado!C11</f>
        <v>118.5485529</v>
      </c>
      <c r="S28" s="123">
        <f>Laminado!D11</f>
        <v>137.5163213</v>
      </c>
      <c r="T28" s="123">
        <f>Laminado!E11</f>
        <v>98.79046073</v>
      </c>
    </row>
    <row r="29" ht="15.75" customHeight="1">
      <c r="A29" s="3"/>
      <c r="B29" s="3">
        <v>39.60955985667915</v>
      </c>
      <c r="C29" s="3">
        <v>46.76673280107909</v>
      </c>
      <c r="D29" s="3">
        <v>48.13934131096403</v>
      </c>
      <c r="E29" s="3">
        <v>66.01593309446527</v>
      </c>
      <c r="F29" s="3">
        <v>77.94455466846517</v>
      </c>
      <c r="G29" s="3">
        <v>80.23223551827337</v>
      </c>
      <c r="H29" s="3">
        <v>73.20578719386245</v>
      </c>
      <c r="I29" s="3">
        <v>101.96520359145129</v>
      </c>
      <c r="J29" s="3"/>
      <c r="K29" s="3"/>
      <c r="L29" s="3"/>
      <c r="M29" s="3"/>
      <c r="N29" s="3"/>
      <c r="R29" s="123">
        <f>Laminado!C12</f>
        <v>110.3727906</v>
      </c>
      <c r="S29" s="123">
        <f>Laminado!D12</f>
        <v>128.0324371</v>
      </c>
      <c r="T29" s="123">
        <f>Laminado!E12</f>
        <v>91.97732551</v>
      </c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R30" s="123">
        <f>Laminado!C13</f>
        <v>102.1970283</v>
      </c>
      <c r="S30" s="123">
        <f>Laminado!D13</f>
        <v>118.5485529</v>
      </c>
      <c r="T30" s="123">
        <f>Laminado!E13</f>
        <v>85.16419028</v>
      </c>
    </row>
    <row r="31" ht="15.75" customHeight="1">
      <c r="A31" s="3" t="s">
        <v>471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S31" s="131" t="s">
        <v>472</v>
      </c>
    </row>
    <row r="32" ht="15.75" customHeight="1">
      <c r="A32" s="474" t="s">
        <v>104</v>
      </c>
      <c r="B32" s="475" t="s">
        <v>473</v>
      </c>
      <c r="C32" s="476"/>
      <c r="D32" s="475" t="s">
        <v>71</v>
      </c>
      <c r="E32" s="476"/>
      <c r="F32" s="475" t="s">
        <v>474</v>
      </c>
      <c r="G32" s="476"/>
      <c r="H32" s="475" t="s">
        <v>475</v>
      </c>
      <c r="I32" s="476"/>
      <c r="J32" s="474" t="s">
        <v>476</v>
      </c>
      <c r="K32" s="3"/>
      <c r="L32" s="3"/>
      <c r="P32" s="131" t="s">
        <v>335</v>
      </c>
      <c r="Q32" s="131">
        <v>6.0</v>
      </c>
    </row>
    <row r="33" ht="15.75" customHeight="1">
      <c r="A33" s="477"/>
      <c r="B33" s="477" t="s">
        <v>10</v>
      </c>
      <c r="C33" s="478" t="s">
        <v>11</v>
      </c>
      <c r="D33" s="478" t="s">
        <v>10</v>
      </c>
      <c r="E33" s="478" t="s">
        <v>11</v>
      </c>
      <c r="F33" s="478" t="s">
        <v>10</v>
      </c>
      <c r="G33" s="478" t="s">
        <v>11</v>
      </c>
      <c r="H33" s="477" t="s">
        <v>10</v>
      </c>
      <c r="I33" s="478" t="s">
        <v>11</v>
      </c>
      <c r="J33" s="478" t="s">
        <v>334</v>
      </c>
      <c r="K33" s="3"/>
      <c r="L33" s="3"/>
      <c r="M33" s="479" t="s">
        <v>477</v>
      </c>
      <c r="N33" s="480" t="str">
        <f>troquelados!Y44</f>
        <v>MEDIO</v>
      </c>
      <c r="P33" s="131" t="s">
        <v>478</v>
      </c>
      <c r="Q33" s="481">
        <f>Bajadas!AB4</f>
        <v>141513.372</v>
      </c>
      <c r="R33" s="482">
        <f>(N34+Q33)/Q32</f>
        <v>23653.162</v>
      </c>
      <c r="S33" s="20"/>
    </row>
    <row r="34" ht="15.75" customHeight="1">
      <c r="A34" s="483">
        <f>Bajadas!B4</f>
        <v>1</v>
      </c>
      <c r="B34" s="484">
        <f t="shared" ref="B34:B40" si="1">(Q34+P34)*S34</f>
        <v>375150.2064</v>
      </c>
      <c r="C34" s="484">
        <f t="shared" ref="C34:C40" si="2">(R34+P34)*S34</f>
        <v>375539.2314</v>
      </c>
      <c r="D34" s="484">
        <f t="shared" ref="D34:D40" si="3">B34+T24</f>
        <v>375286.4691</v>
      </c>
      <c r="E34" s="484">
        <f t="shared" ref="E34:E40" si="4">C34+T24</f>
        <v>375675.4941</v>
      </c>
      <c r="F34" s="484">
        <f t="shared" ref="F34:F40" si="5">B34+R24</f>
        <v>375313.7217</v>
      </c>
      <c r="G34" s="484">
        <f t="shared" ref="G34:G40" si="6">C34+R24</f>
        <v>375702.7467</v>
      </c>
      <c r="H34" s="484">
        <f t="shared" ref="H34:H40" si="7">B34+S24</f>
        <v>375339.8841</v>
      </c>
      <c r="I34" s="484">
        <f t="shared" ref="I34:I40" si="8">C34+S24</f>
        <v>375728.9091</v>
      </c>
      <c r="J34" s="484">
        <f>(N34+Q34)/Q32</f>
        <v>37808.7626</v>
      </c>
      <c r="M34" s="480" t="str">
        <f>troquelados!W45</f>
        <v>1 a 2</v>
      </c>
      <c r="N34" s="480">
        <f>troquelados!Y45</f>
        <v>405.6</v>
      </c>
      <c r="P34" s="482">
        <f>(Q33+N34)/Q32</f>
        <v>23653.162</v>
      </c>
      <c r="Q34" s="485">
        <f>Bajadas!E4</f>
        <v>226446.9756</v>
      </c>
      <c r="R34" s="486">
        <f>Bajadas!F4</f>
        <v>226706.3256</v>
      </c>
      <c r="S34" s="20">
        <v>1.5</v>
      </c>
    </row>
    <row r="35" ht="15.75" customHeight="1">
      <c r="A35" s="483" t="str">
        <f>Bajadas!B5</f>
        <v>2 a 25</v>
      </c>
      <c r="B35" s="484">
        <f t="shared" si="1"/>
        <v>307718.5149</v>
      </c>
      <c r="C35" s="484">
        <f t="shared" si="2"/>
        <v>308034.1029</v>
      </c>
      <c r="D35" s="484">
        <f t="shared" si="3"/>
        <v>307844.5579</v>
      </c>
      <c r="E35" s="484">
        <f t="shared" si="4"/>
        <v>308160.1459</v>
      </c>
      <c r="F35" s="484">
        <f t="shared" si="5"/>
        <v>307869.7665</v>
      </c>
      <c r="G35" s="484">
        <f t="shared" si="6"/>
        <v>308185.3545</v>
      </c>
      <c r="H35" s="484">
        <f t="shared" si="7"/>
        <v>307893.9667</v>
      </c>
      <c r="I35" s="484">
        <f t="shared" si="8"/>
        <v>308209.5547</v>
      </c>
      <c r="J35" s="484">
        <f>(N35+Q35)/Q32</f>
        <v>33829.86319</v>
      </c>
      <c r="M35" s="480" t="str">
        <f>troquelados!W46</f>
        <v>3 a 9</v>
      </c>
      <c r="N35" s="480">
        <f>troquelados!Y46</f>
        <v>368.7272727</v>
      </c>
      <c r="P35" s="482">
        <f>R33</f>
        <v>23653.162</v>
      </c>
      <c r="Q35" s="485">
        <f>Bajadas!E5</f>
        <v>202610.4519</v>
      </c>
      <c r="R35" s="486">
        <f>Bajadas!F5</f>
        <v>202842.5019</v>
      </c>
      <c r="S35" s="20">
        <v>1.36</v>
      </c>
    </row>
    <row r="36" ht="15.75" customHeight="1">
      <c r="A36" s="483" t="str">
        <f>Bajadas!B6</f>
        <v>26 a 50</v>
      </c>
      <c r="B36" s="484">
        <f t="shared" si="1"/>
        <v>290801.9175</v>
      </c>
      <c r="C36" s="484">
        <f t="shared" si="2"/>
        <v>291099.2145</v>
      </c>
      <c r="D36" s="484">
        <f t="shared" si="3"/>
        <v>290917.7408</v>
      </c>
      <c r="E36" s="484">
        <f t="shared" si="4"/>
        <v>291215.0378</v>
      </c>
      <c r="F36" s="484">
        <f t="shared" si="5"/>
        <v>290940.9054</v>
      </c>
      <c r="G36" s="484">
        <f t="shared" si="6"/>
        <v>291238.2024</v>
      </c>
      <c r="H36" s="484">
        <f t="shared" si="7"/>
        <v>290963.1435</v>
      </c>
      <c r="I36" s="484">
        <f t="shared" si="8"/>
        <v>291260.4405</v>
      </c>
      <c r="J36" s="484">
        <f>(N36+Q36)/Q32</f>
        <v>32831.08792</v>
      </c>
      <c r="M36" s="480" t="str">
        <f>troquelados!W47</f>
        <v>10 a 25</v>
      </c>
      <c r="N36" s="480">
        <f>troquelados!Y47</f>
        <v>335.2066116</v>
      </c>
      <c r="P36" s="482">
        <f>R33</f>
        <v>23653.162</v>
      </c>
      <c r="Q36" s="485">
        <f>Bajadas!E6</f>
        <v>196651.3209</v>
      </c>
      <c r="R36" s="486">
        <f>Bajadas!F6</f>
        <v>196876.5459</v>
      </c>
      <c r="S36" s="20">
        <v>1.32</v>
      </c>
    </row>
    <row r="37" ht="15.75" customHeight="1">
      <c r="A37" s="483" t="str">
        <f>Bajadas!B7</f>
        <v>51 a 100</v>
      </c>
      <c r="B37" s="484">
        <f t="shared" si="1"/>
        <v>274362.0506</v>
      </c>
      <c r="C37" s="484">
        <f t="shared" si="2"/>
        <v>274641.6026</v>
      </c>
      <c r="D37" s="484">
        <f t="shared" si="3"/>
        <v>274467.6542</v>
      </c>
      <c r="E37" s="484">
        <f t="shared" si="4"/>
        <v>274747.2062</v>
      </c>
      <c r="F37" s="484">
        <f t="shared" si="5"/>
        <v>274488.7749</v>
      </c>
      <c r="G37" s="484">
        <f t="shared" si="6"/>
        <v>274768.3269</v>
      </c>
      <c r="H37" s="484">
        <f t="shared" si="7"/>
        <v>274509.0508</v>
      </c>
      <c r="I37" s="484">
        <f t="shared" si="8"/>
        <v>274788.6028</v>
      </c>
      <c r="J37" s="484">
        <f>(N37+Q37)/Q32</f>
        <v>31832.82055</v>
      </c>
      <c r="M37" s="480" t="str">
        <f>troquelados!W48</f>
        <v>26 a 50</v>
      </c>
      <c r="N37" s="480">
        <f>troquelados!Y48</f>
        <v>304.7332832</v>
      </c>
      <c r="P37" s="482">
        <f>R33</f>
        <v>23653.162</v>
      </c>
      <c r="Q37" s="485">
        <f>Bajadas!E7</f>
        <v>190692.19</v>
      </c>
      <c r="R37" s="486">
        <f>Bajadas!F7</f>
        <v>190910.59</v>
      </c>
      <c r="S37" s="20">
        <v>1.28</v>
      </c>
    </row>
    <row r="38" ht="15.75" customHeight="1">
      <c r="A38" s="483" t="str">
        <f>Bajadas!B8</f>
        <v>101 a 300</v>
      </c>
      <c r="B38" s="484">
        <f t="shared" si="1"/>
        <v>258398.9141</v>
      </c>
      <c r="C38" s="484">
        <f t="shared" si="2"/>
        <v>258661.2671</v>
      </c>
      <c r="D38" s="484">
        <f t="shared" si="3"/>
        <v>258497.7046</v>
      </c>
      <c r="E38" s="484">
        <f t="shared" si="4"/>
        <v>258760.0576</v>
      </c>
      <c r="F38" s="484">
        <f t="shared" si="5"/>
        <v>258517.4627</v>
      </c>
      <c r="G38" s="484">
        <f t="shared" si="6"/>
        <v>258779.8157</v>
      </c>
      <c r="H38" s="484">
        <f t="shared" si="7"/>
        <v>258536.4304</v>
      </c>
      <c r="I38" s="484">
        <f t="shared" si="8"/>
        <v>258798.7834</v>
      </c>
      <c r="J38" s="484">
        <f>(N38+Q38)/Q32</f>
        <v>30835.01489</v>
      </c>
      <c r="M38" s="480" t="str">
        <f>troquelados!W49</f>
        <v>51 a 100</v>
      </c>
      <c r="N38" s="480">
        <f>troquelados!Y49</f>
        <v>277.0302575</v>
      </c>
      <c r="P38" s="482">
        <f>R33</f>
        <v>23653.162</v>
      </c>
      <c r="Q38" s="485">
        <f>Bajadas!E8</f>
        <v>184733.0591</v>
      </c>
      <c r="R38" s="486">
        <f>Bajadas!F8</f>
        <v>184944.6341</v>
      </c>
      <c r="S38" s="20">
        <v>1.24</v>
      </c>
    </row>
    <row r="39" ht="15.75" customHeight="1">
      <c r="A39" s="483" t="str">
        <f>Bajadas!B9</f>
        <v>301 a 500</v>
      </c>
      <c r="B39" s="484">
        <f t="shared" si="1"/>
        <v>242912.5082</v>
      </c>
      <c r="C39" s="484">
        <f t="shared" si="2"/>
        <v>243158.2082</v>
      </c>
      <c r="D39" s="484">
        <f t="shared" si="3"/>
        <v>243004.4855</v>
      </c>
      <c r="E39" s="484">
        <f t="shared" si="4"/>
        <v>243250.1855</v>
      </c>
      <c r="F39" s="484">
        <f t="shared" si="5"/>
        <v>243022.8809</v>
      </c>
      <c r="G39" s="484">
        <f t="shared" si="6"/>
        <v>243268.5809</v>
      </c>
      <c r="H39" s="484">
        <f t="shared" si="7"/>
        <v>243040.5406</v>
      </c>
      <c r="I39" s="484">
        <f t="shared" si="8"/>
        <v>243286.2406</v>
      </c>
      <c r="J39" s="484">
        <f>(N39+Q39)/Q32</f>
        <v>29837.62897</v>
      </c>
      <c r="M39" s="480" t="str">
        <f>troquelados!W50</f>
        <v>mas de 100</v>
      </c>
      <c r="N39" s="480">
        <f>troquelados!Y50</f>
        <v>251.8456886</v>
      </c>
      <c r="P39" s="482">
        <f>R33</f>
        <v>23653.162</v>
      </c>
      <c r="Q39" s="485">
        <f>Bajadas!E9</f>
        <v>178773.9281</v>
      </c>
      <c r="R39" s="486">
        <f>Bajadas!F9</f>
        <v>178978.6781</v>
      </c>
      <c r="S39" s="20">
        <v>1.2</v>
      </c>
    </row>
    <row r="40" ht="15.75" customHeight="1">
      <c r="A40" s="483" t="str">
        <f>Bajadas!B10</f>
        <v>501 a 1000</v>
      </c>
      <c r="B40" s="484">
        <f t="shared" si="1"/>
        <v>227902.8327</v>
      </c>
      <c r="C40" s="484">
        <f t="shared" si="2"/>
        <v>228132.4257</v>
      </c>
      <c r="D40" s="484">
        <f t="shared" si="3"/>
        <v>227987.9968</v>
      </c>
      <c r="E40" s="484">
        <f t="shared" si="4"/>
        <v>228217.5898</v>
      </c>
      <c r="F40" s="484">
        <f t="shared" si="5"/>
        <v>228005.0297</v>
      </c>
      <c r="G40" s="484">
        <f t="shared" si="6"/>
        <v>228234.6227</v>
      </c>
      <c r="H40" s="484">
        <f t="shared" si="7"/>
        <v>228021.3812</v>
      </c>
      <c r="I40" s="484">
        <f t="shared" si="8"/>
        <v>228250.9742</v>
      </c>
      <c r="J40" s="484">
        <f>(N40+Q40)/Q32</f>
        <v>28844.4662</v>
      </c>
      <c r="M40" s="480" t="str">
        <f>troquelados!W51</f>
        <v/>
      </c>
      <c r="N40" s="480">
        <v>252.0</v>
      </c>
      <c r="P40" s="482">
        <f>R33</f>
        <v>23653.162</v>
      </c>
      <c r="Q40" s="485">
        <f>Bajadas!E10</f>
        <v>172814.7972</v>
      </c>
      <c r="R40" s="486">
        <f>Bajadas!F10</f>
        <v>173012.7222</v>
      </c>
      <c r="S40" s="20">
        <v>1.16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4:D14"/>
    <mergeCell ref="B32:C32"/>
    <mergeCell ref="D32:E32"/>
    <mergeCell ref="F32:G32"/>
    <mergeCell ref="H32:I32"/>
    <mergeCell ref="B3:D3"/>
    <mergeCell ref="E3:G3"/>
    <mergeCell ref="H3:I3"/>
    <mergeCell ref="J3:K3"/>
    <mergeCell ref="E14:G14"/>
    <mergeCell ref="H14:I14"/>
    <mergeCell ref="J14:K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0.71"/>
    <col customWidth="1" min="17" max="17" width="11.43"/>
    <col customWidth="1" min="18" max="22" width="10.71"/>
    <col customWidth="1" min="23" max="23" width="11.86"/>
    <col customWidth="1" min="24" max="40" width="10.71"/>
    <col customWidth="1" min="41" max="48" width="11.71"/>
    <col customWidth="1" min="49" max="49" width="12.43"/>
    <col customWidth="1" min="50" max="50" width="10.71"/>
    <col customWidth="1" min="51" max="51" width="8.43"/>
    <col customWidth="1" min="52" max="52" width="10.71"/>
    <col customWidth="1" min="53" max="56" width="10.43"/>
    <col customWidth="1" min="57" max="57" width="11.86"/>
    <col customWidth="1" min="58" max="62" width="10.43"/>
    <col customWidth="1" min="63" max="63" width="12.57"/>
    <col customWidth="1" min="64" max="66" width="10.71"/>
    <col customWidth="1" min="67" max="67" width="11.86"/>
    <col customWidth="1" min="68" max="68" width="10.14"/>
    <col customWidth="1" min="69" max="74" width="10.71"/>
    <col customWidth="1" min="75" max="76" width="14.86"/>
    <col customWidth="1" min="77" max="77" width="10.71"/>
    <col customWidth="1" min="78" max="78" width="5.57"/>
    <col customWidth="1" min="79" max="85" width="10.71"/>
  </cols>
  <sheetData>
    <row r="1">
      <c r="A1" s="3" t="s">
        <v>479</v>
      </c>
      <c r="AF1" s="32">
        <v>0.8333</v>
      </c>
      <c r="AG1" s="32">
        <v>0.8333</v>
      </c>
      <c r="AH1" s="32">
        <v>0.8333</v>
      </c>
      <c r="AI1" s="32">
        <v>0.8333</v>
      </c>
      <c r="AJ1" s="32">
        <v>0.8333</v>
      </c>
      <c r="AK1" s="32">
        <v>0.8333</v>
      </c>
      <c r="AL1" s="32">
        <v>0.8333</v>
      </c>
      <c r="AM1" s="32">
        <v>0.8333</v>
      </c>
      <c r="AN1" s="3"/>
      <c r="AO1" s="3" t="s">
        <v>311</v>
      </c>
      <c r="AP1" s="32">
        <v>240.0</v>
      </c>
      <c r="AQ1" s="3"/>
      <c r="AR1" s="3"/>
      <c r="AS1" s="3"/>
      <c r="AT1" s="3"/>
      <c r="AU1" s="3"/>
      <c r="AV1" s="3"/>
      <c r="AW1" s="3"/>
      <c r="AX1" s="3"/>
      <c r="AY1" s="3">
        <v>240.0</v>
      </c>
      <c r="AZ1" s="3">
        <v>0.7</v>
      </c>
      <c r="BA1" s="3">
        <v>1.1</v>
      </c>
      <c r="BB1" s="3">
        <v>1.0</v>
      </c>
      <c r="BC1" s="3">
        <v>1.2666</v>
      </c>
      <c r="BD1" s="3">
        <v>1.136</v>
      </c>
      <c r="BE1" s="3">
        <v>1.15</v>
      </c>
      <c r="BF1" s="3">
        <v>1.18</v>
      </c>
      <c r="BG1" s="3">
        <v>1.05</v>
      </c>
    </row>
    <row r="2">
      <c r="A2" s="3" t="s">
        <v>480</v>
      </c>
      <c r="AF2" s="32">
        <v>1.04</v>
      </c>
      <c r="AG2" s="32">
        <v>1.04</v>
      </c>
      <c r="AH2" s="32">
        <v>1.04</v>
      </c>
      <c r="AI2" s="32">
        <v>1.04</v>
      </c>
      <c r="AJ2" s="32">
        <v>1.04</v>
      </c>
      <c r="AK2" s="32">
        <v>1.04</v>
      </c>
      <c r="AL2" s="32">
        <v>1.04</v>
      </c>
      <c r="AM2" s="32">
        <v>1.04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 t="s">
        <v>481</v>
      </c>
      <c r="BA2" s="487">
        <f>BB10*AZ1/AY1</f>
        <v>3041.385528</v>
      </c>
      <c r="BB2" s="3">
        <v>1.75</v>
      </c>
      <c r="BC2" s="3">
        <v>1.75</v>
      </c>
      <c r="BD2" s="3">
        <v>1.75</v>
      </c>
      <c r="BE2" s="3"/>
      <c r="BF2" s="3"/>
      <c r="BG2" s="3"/>
    </row>
    <row r="3" ht="15.0" customHeight="1">
      <c r="AF3" s="32">
        <v>1.458</v>
      </c>
      <c r="AG3" s="32">
        <v>1.458</v>
      </c>
      <c r="AH3" s="32">
        <v>1.458</v>
      </c>
      <c r="AI3" s="32">
        <v>1.458</v>
      </c>
      <c r="AJ3" s="32">
        <v>1.458</v>
      </c>
      <c r="AK3" s="32">
        <v>1.458</v>
      </c>
      <c r="AL3" s="32">
        <v>1.458</v>
      </c>
      <c r="AM3" s="32">
        <v>1.458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 t="s">
        <v>482</v>
      </c>
      <c r="BA3" s="487">
        <f>BB10*BB1/AY1</f>
        <v>4344.836469</v>
      </c>
      <c r="BB3" s="3">
        <v>2.5</v>
      </c>
      <c r="BC3" s="3">
        <v>2.5</v>
      </c>
      <c r="BD3" s="3">
        <v>2.5</v>
      </c>
      <c r="BE3" s="3"/>
      <c r="BF3" s="3"/>
      <c r="BG3" s="3"/>
    </row>
    <row r="4">
      <c r="A4" s="28" t="s">
        <v>483</v>
      </c>
      <c r="AF4" s="32">
        <v>2.08</v>
      </c>
      <c r="AG4" s="32">
        <v>2.08</v>
      </c>
      <c r="AH4" s="32">
        <v>2.08</v>
      </c>
      <c r="AI4" s="32">
        <v>2.08</v>
      </c>
      <c r="AJ4" s="32">
        <v>2.08</v>
      </c>
      <c r="AK4" s="32">
        <v>2.08</v>
      </c>
      <c r="AL4" s="32">
        <v>2.08</v>
      </c>
      <c r="AM4" s="32">
        <v>2.08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484</v>
      </c>
      <c r="BA4" s="487">
        <f>BB10*BA1/AY1</f>
        <v>4779.320116</v>
      </c>
      <c r="BB4" s="3">
        <v>4.0</v>
      </c>
      <c r="BC4" s="3">
        <v>4.0</v>
      </c>
      <c r="BD4" s="3">
        <v>4.0</v>
      </c>
      <c r="BE4" s="3"/>
      <c r="BF4" s="3"/>
      <c r="BG4" s="3"/>
    </row>
    <row r="5">
      <c r="A5" s="3" t="s">
        <v>485</v>
      </c>
      <c r="AF5" s="32">
        <v>3.33</v>
      </c>
      <c r="AG5" s="32">
        <v>3.33</v>
      </c>
      <c r="AH5" s="32">
        <v>3.33</v>
      </c>
      <c r="AI5" s="32">
        <v>3.33</v>
      </c>
      <c r="AJ5" s="32">
        <v>3.33</v>
      </c>
      <c r="AK5" s="32">
        <v>3.33</v>
      </c>
      <c r="AL5" s="32">
        <v>3.33</v>
      </c>
      <c r="AM5" s="32">
        <v>3.33</v>
      </c>
      <c r="AN5" s="3"/>
      <c r="AO5" s="3">
        <v>300.0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>
        <v>7.5</v>
      </c>
      <c r="BC5" s="3">
        <v>7.5</v>
      </c>
      <c r="BD5" s="3">
        <v>7.5</v>
      </c>
      <c r="BE5" s="3"/>
      <c r="BF5" s="3"/>
      <c r="BG5" s="3"/>
      <c r="BO5" s="3" t="s">
        <v>361</v>
      </c>
    </row>
    <row r="6">
      <c r="A6" s="116" t="s">
        <v>486</v>
      </c>
      <c r="B6" s="116"/>
      <c r="BA6" s="3" t="s">
        <v>487</v>
      </c>
      <c r="BO6" s="3" t="s">
        <v>488</v>
      </c>
      <c r="BP6" s="3">
        <v>1.6</v>
      </c>
      <c r="BQ6" s="3">
        <v>1.6</v>
      </c>
      <c r="BR6" s="3">
        <v>2.0</v>
      </c>
      <c r="BS6" s="3">
        <v>2.0</v>
      </c>
      <c r="BT6" s="3">
        <v>1.8</v>
      </c>
      <c r="BU6" s="3">
        <v>1.8</v>
      </c>
      <c r="BV6" s="3">
        <v>0.7</v>
      </c>
      <c r="BW6" s="3">
        <v>0.7</v>
      </c>
    </row>
    <row r="7">
      <c r="A7" s="3" t="s">
        <v>487</v>
      </c>
      <c r="D7" s="488" t="s">
        <v>489</v>
      </c>
      <c r="E7" s="489"/>
      <c r="F7" s="489"/>
      <c r="G7" s="489"/>
      <c r="H7" s="489"/>
      <c r="I7" s="489"/>
      <c r="L7" s="490" t="s">
        <v>490</v>
      </c>
      <c r="M7" s="491"/>
      <c r="N7" s="491"/>
      <c r="O7" s="491"/>
      <c r="P7" s="491"/>
      <c r="Q7" s="492"/>
      <c r="R7" s="282"/>
      <c r="S7" s="282"/>
      <c r="V7" s="490" t="s">
        <v>491</v>
      </c>
      <c r="W7" s="491"/>
      <c r="X7" s="491"/>
      <c r="Y7" s="491"/>
      <c r="Z7" s="491"/>
      <c r="AA7" s="491"/>
      <c r="AB7" s="491"/>
      <c r="AC7" s="492"/>
      <c r="AE7" s="490" t="s">
        <v>492</v>
      </c>
      <c r="AF7" s="491"/>
      <c r="AG7" s="491"/>
      <c r="AH7" s="491"/>
      <c r="AI7" s="491"/>
      <c r="AJ7" s="492"/>
      <c r="AK7" s="282"/>
      <c r="AL7" s="282"/>
      <c r="AM7" s="282"/>
      <c r="AO7" s="490"/>
      <c r="AP7" s="491"/>
      <c r="AQ7" s="491"/>
      <c r="AR7" s="491"/>
      <c r="AS7" s="491"/>
      <c r="AT7" s="491"/>
      <c r="AU7" s="491"/>
      <c r="AV7" s="491"/>
      <c r="AW7" s="492"/>
      <c r="BA7" s="493">
        <v>1.2</v>
      </c>
      <c r="BB7" s="493">
        <v>1.2</v>
      </c>
      <c r="BC7" s="493">
        <v>1.2</v>
      </c>
      <c r="BD7" s="493">
        <v>1.2</v>
      </c>
      <c r="BE7" s="493">
        <v>1.2</v>
      </c>
      <c r="BF7" s="493">
        <v>1.2</v>
      </c>
      <c r="BG7" s="493">
        <v>1.2</v>
      </c>
      <c r="BH7" s="493">
        <v>1.2</v>
      </c>
      <c r="BI7" s="493">
        <v>1.2</v>
      </c>
      <c r="BO7" s="494" t="s">
        <v>104</v>
      </c>
      <c r="BP7" s="3" t="s">
        <v>493</v>
      </c>
      <c r="BR7" s="3" t="s">
        <v>279</v>
      </c>
      <c r="BT7" s="3" t="s">
        <v>279</v>
      </c>
      <c r="BV7" s="3" t="s">
        <v>280</v>
      </c>
      <c r="BZ7" s="495" t="s">
        <v>278</v>
      </c>
      <c r="CA7" s="476"/>
      <c r="CB7" s="495" t="s">
        <v>279</v>
      </c>
      <c r="CC7" s="476"/>
      <c r="CD7" s="495" t="s">
        <v>279</v>
      </c>
      <c r="CE7" s="476"/>
      <c r="CF7" s="495" t="s">
        <v>280</v>
      </c>
      <c r="CG7" s="476"/>
    </row>
    <row r="8">
      <c r="A8" s="494" t="s">
        <v>104</v>
      </c>
      <c r="B8" s="496" t="s">
        <v>473</v>
      </c>
      <c r="C8" s="476"/>
      <c r="D8" s="496" t="s">
        <v>71</v>
      </c>
      <c r="E8" s="476"/>
      <c r="F8" s="496" t="s">
        <v>494</v>
      </c>
      <c r="G8" s="476"/>
      <c r="H8" s="496" t="s">
        <v>495</v>
      </c>
      <c r="I8" s="497"/>
      <c r="K8" s="494" t="s">
        <v>104</v>
      </c>
      <c r="L8" s="496" t="s">
        <v>473</v>
      </c>
      <c r="M8" s="476"/>
      <c r="N8" s="496" t="s">
        <v>71</v>
      </c>
      <c r="O8" s="476"/>
      <c r="P8" s="496" t="s">
        <v>494</v>
      </c>
      <c r="Q8" s="476"/>
      <c r="R8" s="496" t="s">
        <v>495</v>
      </c>
      <c r="S8" s="497"/>
      <c r="U8" s="494" t="s">
        <v>104</v>
      </c>
      <c r="V8" s="496" t="s">
        <v>473</v>
      </c>
      <c r="W8" s="476"/>
      <c r="X8" s="496" t="s">
        <v>71</v>
      </c>
      <c r="Y8" s="476"/>
      <c r="Z8" s="496" t="s">
        <v>494</v>
      </c>
      <c r="AA8" s="476"/>
      <c r="AB8" s="496" t="s">
        <v>495</v>
      </c>
      <c r="AC8" s="497"/>
      <c r="AE8" s="494" t="s">
        <v>104</v>
      </c>
      <c r="AF8" s="496" t="s">
        <v>473</v>
      </c>
      <c r="AG8" s="476"/>
      <c r="AH8" s="496" t="s">
        <v>71</v>
      </c>
      <c r="AI8" s="476"/>
      <c r="AJ8" s="496" t="s">
        <v>494</v>
      </c>
      <c r="AK8" s="476"/>
      <c r="AL8" s="496" t="s">
        <v>495</v>
      </c>
      <c r="AM8" s="497"/>
      <c r="AO8" s="494" t="s">
        <v>496</v>
      </c>
      <c r="AP8" s="498" t="s">
        <v>473</v>
      </c>
      <c r="AQ8" s="476"/>
      <c r="AR8" s="499" t="s">
        <v>71</v>
      </c>
      <c r="AS8" s="476"/>
      <c r="AT8" s="500" t="s">
        <v>494</v>
      </c>
      <c r="AU8" s="476"/>
      <c r="AV8" s="498" t="s">
        <v>495</v>
      </c>
      <c r="AW8" s="497"/>
      <c r="AZ8" s="3">
        <v>1.2</v>
      </c>
      <c r="BA8" s="494" t="s">
        <v>496</v>
      </c>
      <c r="BB8" s="498" t="s">
        <v>473</v>
      </c>
      <c r="BC8" s="476"/>
      <c r="BD8" s="499" t="s">
        <v>71</v>
      </c>
      <c r="BE8" s="476"/>
      <c r="BF8" s="500" t="s">
        <v>494</v>
      </c>
      <c r="BG8" s="476"/>
      <c r="BH8" s="498" t="s">
        <v>495</v>
      </c>
      <c r="BI8" s="476"/>
      <c r="BJ8" s="496" t="s">
        <v>497</v>
      </c>
      <c r="BK8" s="476"/>
      <c r="BL8" s="501" t="s">
        <v>498</v>
      </c>
      <c r="BM8" s="476"/>
      <c r="BO8" s="3" t="s">
        <v>287</v>
      </c>
      <c r="BP8" s="3" t="s">
        <v>281</v>
      </c>
      <c r="BR8" s="3" t="s">
        <v>282</v>
      </c>
      <c r="BT8" s="3" t="s">
        <v>283</v>
      </c>
      <c r="BV8" s="3" t="s">
        <v>284</v>
      </c>
      <c r="BY8" s="281" t="s">
        <v>287</v>
      </c>
      <c r="BZ8" s="495" t="s">
        <v>281</v>
      </c>
      <c r="CA8" s="476"/>
      <c r="CB8" s="495" t="s">
        <v>282</v>
      </c>
      <c r="CC8" s="476"/>
      <c r="CD8" s="495" t="s">
        <v>283</v>
      </c>
      <c r="CE8" s="476"/>
      <c r="CF8" s="495" t="s">
        <v>284</v>
      </c>
      <c r="CG8" s="476"/>
    </row>
    <row r="9">
      <c r="A9" s="494" t="s">
        <v>496</v>
      </c>
      <c r="B9" s="494" t="s">
        <v>10</v>
      </c>
      <c r="C9" s="502" t="s">
        <v>11</v>
      </c>
      <c r="D9" s="502" t="s">
        <v>10</v>
      </c>
      <c r="E9" s="502" t="s">
        <v>11</v>
      </c>
      <c r="F9" s="494" t="s">
        <v>10</v>
      </c>
      <c r="G9" s="502" t="s">
        <v>11</v>
      </c>
      <c r="H9" s="502" t="s">
        <v>10</v>
      </c>
      <c r="I9" s="502" t="s">
        <v>11</v>
      </c>
      <c r="K9" s="494" t="s">
        <v>496</v>
      </c>
      <c r="L9" s="494" t="s">
        <v>10</v>
      </c>
      <c r="M9" s="502" t="s">
        <v>11</v>
      </c>
      <c r="N9" s="502" t="s">
        <v>10</v>
      </c>
      <c r="O9" s="502" t="s">
        <v>11</v>
      </c>
      <c r="P9" s="494" t="s">
        <v>10</v>
      </c>
      <c r="Q9" s="502" t="s">
        <v>11</v>
      </c>
      <c r="R9" s="502" t="s">
        <v>10</v>
      </c>
      <c r="S9" s="502" t="s">
        <v>11</v>
      </c>
      <c r="U9" s="494" t="s">
        <v>496</v>
      </c>
      <c r="V9" s="494" t="s">
        <v>10</v>
      </c>
      <c r="W9" s="502" t="s">
        <v>11</v>
      </c>
      <c r="X9" s="502" t="s">
        <v>10</v>
      </c>
      <c r="Y9" s="502" t="s">
        <v>11</v>
      </c>
      <c r="Z9" s="494" t="s">
        <v>10</v>
      </c>
      <c r="AA9" s="502" t="s">
        <v>11</v>
      </c>
      <c r="AB9" s="494" t="s">
        <v>10</v>
      </c>
      <c r="AC9" s="502" t="s">
        <v>11</v>
      </c>
      <c r="AE9" s="494" t="s">
        <v>496</v>
      </c>
      <c r="AF9" s="494" t="s">
        <v>10</v>
      </c>
      <c r="AG9" s="502" t="s">
        <v>11</v>
      </c>
      <c r="AH9" s="502" t="s">
        <v>10</v>
      </c>
      <c r="AI9" s="502" t="s">
        <v>11</v>
      </c>
      <c r="AJ9" s="494" t="s">
        <v>10</v>
      </c>
      <c r="AK9" s="502" t="s">
        <v>11</v>
      </c>
      <c r="AL9" s="502" t="s">
        <v>10</v>
      </c>
      <c r="AM9" s="502" t="s">
        <v>11</v>
      </c>
      <c r="AO9" s="494" t="s">
        <v>104</v>
      </c>
      <c r="AP9" s="503" t="s">
        <v>10</v>
      </c>
      <c r="AQ9" s="504" t="s">
        <v>11</v>
      </c>
      <c r="AR9" s="504" t="s">
        <v>10</v>
      </c>
      <c r="AS9" s="504" t="s">
        <v>11</v>
      </c>
      <c r="AT9" s="503" t="s">
        <v>10</v>
      </c>
      <c r="AU9" s="504" t="s">
        <v>11</v>
      </c>
      <c r="AV9" s="504" t="s">
        <v>10</v>
      </c>
      <c r="AW9" s="504" t="s">
        <v>11</v>
      </c>
      <c r="AZ9" s="3">
        <v>1.2</v>
      </c>
      <c r="BA9" s="494" t="s">
        <v>104</v>
      </c>
      <c r="BB9" s="503" t="s">
        <v>10</v>
      </c>
      <c r="BC9" s="504" t="s">
        <v>11</v>
      </c>
      <c r="BD9" s="504" t="s">
        <v>10</v>
      </c>
      <c r="BE9" s="504" t="s">
        <v>11</v>
      </c>
      <c r="BF9" s="503" t="s">
        <v>10</v>
      </c>
      <c r="BG9" s="504" t="s">
        <v>11</v>
      </c>
      <c r="BH9" s="504" t="s">
        <v>10</v>
      </c>
      <c r="BI9" s="504" t="s">
        <v>11</v>
      </c>
      <c r="BJ9" s="502" t="s">
        <v>10</v>
      </c>
      <c r="BK9" s="502" t="s">
        <v>11</v>
      </c>
      <c r="BL9" s="502" t="s">
        <v>10</v>
      </c>
      <c r="BM9" s="502" t="s">
        <v>11</v>
      </c>
      <c r="BP9" s="45" t="s">
        <v>10</v>
      </c>
      <c r="BQ9" s="505" t="s">
        <v>11</v>
      </c>
      <c r="BR9" s="45" t="s">
        <v>10</v>
      </c>
      <c r="BS9" s="505" t="s">
        <v>11</v>
      </c>
      <c r="BT9" s="45" t="s">
        <v>10</v>
      </c>
      <c r="BU9" s="505" t="s">
        <v>11</v>
      </c>
      <c r="BV9" s="45" t="s">
        <v>10</v>
      </c>
      <c r="BW9" s="505" t="s">
        <v>11</v>
      </c>
      <c r="BY9" s="281" t="s">
        <v>104</v>
      </c>
      <c r="BZ9" s="45" t="s">
        <v>10</v>
      </c>
      <c r="CA9" s="505" t="s">
        <v>11</v>
      </c>
      <c r="CB9" s="45" t="s">
        <v>10</v>
      </c>
      <c r="CC9" s="505" t="s">
        <v>11</v>
      </c>
      <c r="CD9" s="45" t="s">
        <v>10</v>
      </c>
      <c r="CE9" s="505" t="s">
        <v>11</v>
      </c>
      <c r="CF9" s="45" t="s">
        <v>10</v>
      </c>
      <c r="CG9" s="505" t="s">
        <v>11</v>
      </c>
    </row>
    <row r="10">
      <c r="A10" s="494">
        <v>100.0</v>
      </c>
      <c r="B10" s="36">
        <v>5.0</v>
      </c>
      <c r="C10" s="36">
        <v>5.0</v>
      </c>
      <c r="D10" s="36">
        <v>5.0</v>
      </c>
      <c r="E10" s="36">
        <v>5.0</v>
      </c>
      <c r="F10" s="36">
        <v>5.0</v>
      </c>
      <c r="G10" s="36">
        <v>5.0</v>
      </c>
      <c r="H10" s="36">
        <v>5.0</v>
      </c>
      <c r="I10" s="36">
        <v>5.0</v>
      </c>
      <c r="K10" s="494">
        <v>100.0</v>
      </c>
      <c r="L10" s="506">
        <f>Bajadas!$G$5</f>
        <v>173713.4588</v>
      </c>
      <c r="M10" s="506">
        <f>Bajadas!$H$5</f>
        <v>173945.5088</v>
      </c>
      <c r="N10" s="29">
        <f>Bajadas!$G$5</f>
        <v>173713.4588</v>
      </c>
      <c r="O10" s="29">
        <f>Bajadas!$H$5</f>
        <v>173945.5088</v>
      </c>
      <c r="P10" s="506">
        <f>Bajadas!$G$5</f>
        <v>173713.4588</v>
      </c>
      <c r="Q10" s="506">
        <f>Bajadas!$H$5</f>
        <v>173945.5088</v>
      </c>
      <c r="R10" s="506">
        <f>Bajadas!$G$5</f>
        <v>173713.4588</v>
      </c>
      <c r="S10" s="506">
        <f>Bajadas!$H$5</f>
        <v>173945.5088</v>
      </c>
      <c r="U10" s="494">
        <v>100.0</v>
      </c>
      <c r="V10" s="36"/>
      <c r="W10" s="36"/>
      <c r="X10" s="20">
        <f>Laminado!J7</f>
        <v>136.2627045</v>
      </c>
      <c r="Y10" s="3"/>
      <c r="Z10" s="29">
        <f>Laminado!C7</f>
        <v>163.5152453</v>
      </c>
      <c r="AA10" s="29"/>
      <c r="AB10" s="29">
        <f>Laminado!C7</f>
        <v>163.5152453</v>
      </c>
      <c r="AC10" s="36">
        <f>Laminado!C7*2</f>
        <v>327.0304907</v>
      </c>
      <c r="AE10" s="494">
        <v>100.0</v>
      </c>
      <c r="AF10" s="32">
        <v>400.0</v>
      </c>
      <c r="AG10" s="32">
        <v>400.0</v>
      </c>
      <c r="AH10" s="32">
        <v>400.0</v>
      </c>
      <c r="AI10" s="32">
        <v>400.0</v>
      </c>
      <c r="AJ10" s="32">
        <v>400.0</v>
      </c>
      <c r="AK10" s="32">
        <v>400.0</v>
      </c>
      <c r="AL10" s="32">
        <v>400.0</v>
      </c>
      <c r="AM10" s="32">
        <v>400.0</v>
      </c>
      <c r="AO10" s="494">
        <v>100.0</v>
      </c>
      <c r="AP10" s="507">
        <f t="shared" ref="AP10:AR10" si="1">(B10*L10)+V10*B10+AF10</f>
        <v>868967.2938</v>
      </c>
      <c r="AQ10" s="507">
        <f t="shared" si="1"/>
        <v>870127.5438</v>
      </c>
      <c r="AR10" s="508">
        <f t="shared" si="1"/>
        <v>869648.6073</v>
      </c>
      <c r="AS10" s="508">
        <f t="shared" ref="AS10:AS14" si="6">(E10*O10)+X10*E10+AI10</f>
        <v>870808.8573</v>
      </c>
      <c r="AT10" s="509">
        <f t="shared" ref="AT10:AT14" si="7">(F10*P10)+Z10*F10+AJ10</f>
        <v>869784.87</v>
      </c>
      <c r="AU10" s="509">
        <f t="shared" ref="AU10:AU14" si="8">(E10*Q10)+Z10*E10+AK10</f>
        <v>870945.12</v>
      </c>
      <c r="AV10" s="510">
        <f t="shared" ref="AV10:AW10" si="2">(H10*R10)+AB10*H10+AL10</f>
        <v>869784.87</v>
      </c>
      <c r="AW10" s="510">
        <f t="shared" si="2"/>
        <v>871762.6962</v>
      </c>
      <c r="AZ10" s="3">
        <v>1.2</v>
      </c>
      <c r="BA10" s="494">
        <v>100.0</v>
      </c>
      <c r="BB10" s="507">
        <f t="shared" ref="BB10:BB14" si="10">AP10*AZ8</f>
        <v>1042760.753</v>
      </c>
      <c r="BC10" s="507">
        <f t="shared" ref="BC10:BC14" si="11">AQ10*AZ9</f>
        <v>1044153.053</v>
      </c>
      <c r="BD10" s="508">
        <f t="shared" ref="BD10:BD14" si="12">AR10*AZ10</f>
        <v>1043578.329</v>
      </c>
      <c r="BE10" s="508">
        <f t="shared" ref="BE10:BE14" si="13">AS10*AZ9</f>
        <v>1044970.629</v>
      </c>
      <c r="BF10" s="509">
        <f t="shared" ref="BF10:BF14" si="14">AT10*AZ10</f>
        <v>1043741.844</v>
      </c>
      <c r="BG10" s="509">
        <f t="shared" ref="BG10:BG14" si="15">AU10*AZ10</f>
        <v>1045134.144</v>
      </c>
      <c r="BH10" s="510">
        <f t="shared" ref="BH10:BH14" si="16">AV10*AZ10</f>
        <v>1043741.844</v>
      </c>
      <c r="BI10" s="510">
        <f t="shared" ref="BI10:BI14" si="17">AW10*AZ10</f>
        <v>1046115.235</v>
      </c>
      <c r="BJ10" s="108">
        <v>118.0</v>
      </c>
      <c r="BK10" s="108">
        <v>153.0</v>
      </c>
      <c r="BL10" s="511">
        <f t="shared" ref="BL10:BM10" si="3">BH10*1.4</f>
        <v>1461238.582</v>
      </c>
      <c r="BM10" s="511">
        <f t="shared" si="3"/>
        <v>1464561.33</v>
      </c>
      <c r="BO10" s="494">
        <v>100.0</v>
      </c>
      <c r="BP10" s="3">
        <v>3.0</v>
      </c>
      <c r="BQ10" s="3">
        <v>6.0</v>
      </c>
      <c r="BR10" s="3">
        <v>3.0</v>
      </c>
      <c r="BS10" s="3">
        <v>6.0</v>
      </c>
      <c r="BT10" s="3">
        <v>3.0</v>
      </c>
      <c r="BU10" s="3">
        <v>6.0</v>
      </c>
      <c r="BV10" s="3">
        <v>3.0</v>
      </c>
      <c r="BW10" s="3">
        <v>6.0</v>
      </c>
      <c r="BY10" s="281">
        <v>100.0</v>
      </c>
      <c r="BZ10" s="29">
        <f t="shared" ref="BZ10:CG10" si="4">CEILING(BP10*BP$6,0.05)</f>
        <v>4.8</v>
      </c>
      <c r="CA10" s="29">
        <f t="shared" si="4"/>
        <v>9.6</v>
      </c>
      <c r="CB10" s="29">
        <f t="shared" si="4"/>
        <v>6</v>
      </c>
      <c r="CC10" s="29">
        <f t="shared" si="4"/>
        <v>12</v>
      </c>
      <c r="CD10" s="29">
        <f t="shared" si="4"/>
        <v>5.4</v>
      </c>
      <c r="CE10" s="29">
        <f t="shared" si="4"/>
        <v>10.8</v>
      </c>
      <c r="CF10" s="29">
        <f t="shared" si="4"/>
        <v>2.1</v>
      </c>
      <c r="CG10" s="29">
        <f t="shared" si="4"/>
        <v>4.2</v>
      </c>
    </row>
    <row r="11">
      <c r="A11" s="494">
        <v>200.0</v>
      </c>
      <c r="B11" s="36">
        <v>9.0</v>
      </c>
      <c r="C11" s="36">
        <v>9.0</v>
      </c>
      <c r="D11" s="36">
        <v>9.0</v>
      </c>
      <c r="E11" s="36">
        <v>9.0</v>
      </c>
      <c r="F11" s="36">
        <v>9.0</v>
      </c>
      <c r="G11" s="36">
        <v>9.0</v>
      </c>
      <c r="H11" s="36">
        <v>9.0</v>
      </c>
      <c r="I11" s="36">
        <v>9.0</v>
      </c>
      <c r="K11" s="494">
        <v>200.0</v>
      </c>
      <c r="L11" s="506">
        <f>Bajadas!G5</f>
        <v>173713.4588</v>
      </c>
      <c r="M11" s="506">
        <f>Bajadas!H5</f>
        <v>173945.5088</v>
      </c>
      <c r="N11" s="29">
        <f>Bajadas!G5</f>
        <v>173713.4588</v>
      </c>
      <c r="O11" s="29">
        <f>Bajadas!$H$5</f>
        <v>173945.5088</v>
      </c>
      <c r="P11" s="506">
        <f>Bajadas!G5</f>
        <v>173713.4588</v>
      </c>
      <c r="Q11" s="506">
        <f>Bajadas!H5</f>
        <v>173945.5088</v>
      </c>
      <c r="R11" s="506">
        <f>Bajadas!$G$5</f>
        <v>173713.4588</v>
      </c>
      <c r="S11" s="506">
        <f>Bajadas!$H$5</f>
        <v>173945.5088</v>
      </c>
      <c r="U11" s="494">
        <v>200.0</v>
      </c>
      <c r="V11" s="36"/>
      <c r="W11" s="36"/>
      <c r="X11" s="20">
        <f>Laminado!J7</f>
        <v>136.2627045</v>
      </c>
      <c r="Y11" s="3"/>
      <c r="Z11" s="29">
        <f>Laminado!C8</f>
        <v>151.2516019</v>
      </c>
      <c r="AA11" s="29"/>
      <c r="AB11" s="29">
        <f>Laminado!C7</f>
        <v>163.5152453</v>
      </c>
      <c r="AC11" s="36">
        <f>Laminado!C7*2</f>
        <v>327.0304907</v>
      </c>
      <c r="AE11" s="494">
        <v>200.0</v>
      </c>
      <c r="AF11" s="32">
        <v>500.0</v>
      </c>
      <c r="AG11" s="32">
        <v>500.0</v>
      </c>
      <c r="AH11" s="32">
        <v>500.0</v>
      </c>
      <c r="AI11" s="32">
        <v>500.0</v>
      </c>
      <c r="AJ11" s="32">
        <v>500.0</v>
      </c>
      <c r="AK11" s="32">
        <v>500.0</v>
      </c>
      <c r="AL11" s="32">
        <v>500.0</v>
      </c>
      <c r="AM11" s="32">
        <v>500.0</v>
      </c>
      <c r="AO11" s="494">
        <v>200.0</v>
      </c>
      <c r="AP11" s="507">
        <f t="shared" ref="AP11:AR11" si="5">(B11*L11)+V11*B11+AF11</f>
        <v>1563921.129</v>
      </c>
      <c r="AQ11" s="507">
        <f t="shared" si="5"/>
        <v>1566009.579</v>
      </c>
      <c r="AR11" s="508">
        <f t="shared" si="5"/>
        <v>1565147.493</v>
      </c>
      <c r="AS11" s="508">
        <f t="shared" si="6"/>
        <v>1567235.943</v>
      </c>
      <c r="AT11" s="509">
        <f t="shared" si="7"/>
        <v>1565282.393</v>
      </c>
      <c r="AU11" s="509">
        <f t="shared" si="8"/>
        <v>1567370.843</v>
      </c>
      <c r="AV11" s="510">
        <f t="shared" ref="AV11:AW11" si="9">(H11*R11)+AB11*H11+AL11</f>
        <v>1565392.766</v>
      </c>
      <c r="AW11" s="510">
        <f t="shared" si="9"/>
        <v>1568952.853</v>
      </c>
      <c r="AZ11" s="3">
        <v>1.2</v>
      </c>
      <c r="BA11" s="494">
        <v>200.0</v>
      </c>
      <c r="BB11" s="507">
        <f t="shared" si="10"/>
        <v>1876705.355</v>
      </c>
      <c r="BC11" s="507">
        <f t="shared" si="11"/>
        <v>1879211.495</v>
      </c>
      <c r="BD11" s="508">
        <f t="shared" si="12"/>
        <v>1878176.992</v>
      </c>
      <c r="BE11" s="508">
        <f t="shared" si="13"/>
        <v>1880683.132</v>
      </c>
      <c r="BF11" s="509">
        <f t="shared" si="14"/>
        <v>1878338.872</v>
      </c>
      <c r="BG11" s="509">
        <f t="shared" si="15"/>
        <v>1880845.012</v>
      </c>
      <c r="BH11" s="510">
        <f t="shared" si="16"/>
        <v>1878471.319</v>
      </c>
      <c r="BI11" s="510">
        <f t="shared" si="17"/>
        <v>1882743.424</v>
      </c>
      <c r="BJ11" s="108">
        <v>211.0</v>
      </c>
      <c r="BK11" s="108">
        <v>276.0</v>
      </c>
      <c r="BL11" s="511">
        <f t="shared" ref="BL11:BM11" si="18">BH11*1.4</f>
        <v>2629859.847</v>
      </c>
      <c r="BM11" s="511">
        <f t="shared" si="18"/>
        <v>2635840.793</v>
      </c>
      <c r="BO11" s="494">
        <v>200.0</v>
      </c>
      <c r="BP11" s="3">
        <v>2.9</v>
      </c>
      <c r="BQ11" s="3">
        <v>5.8</v>
      </c>
      <c r="BR11" s="3">
        <v>2.9</v>
      </c>
      <c r="BS11" s="3">
        <v>5.8</v>
      </c>
      <c r="BT11" s="3">
        <v>2.9</v>
      </c>
      <c r="BU11" s="3">
        <v>5.8</v>
      </c>
      <c r="BV11" s="3">
        <v>2.9</v>
      </c>
      <c r="BW11" s="3">
        <v>5.8</v>
      </c>
      <c r="BY11" s="281">
        <v>200.0</v>
      </c>
      <c r="BZ11" s="29">
        <f t="shared" ref="BZ11:CG11" si="19">CEILING(BP11*BP$6,0.05)</f>
        <v>4.65</v>
      </c>
      <c r="CA11" s="29">
        <f t="shared" si="19"/>
        <v>9.3</v>
      </c>
      <c r="CB11" s="29">
        <f t="shared" si="19"/>
        <v>5.8</v>
      </c>
      <c r="CC11" s="29">
        <f t="shared" si="19"/>
        <v>11.6</v>
      </c>
      <c r="CD11" s="29">
        <f t="shared" si="19"/>
        <v>5.25</v>
      </c>
      <c r="CE11" s="29">
        <f t="shared" si="19"/>
        <v>10.45</v>
      </c>
      <c r="CF11" s="29">
        <f t="shared" si="19"/>
        <v>2.05</v>
      </c>
      <c r="CG11" s="29">
        <f t="shared" si="19"/>
        <v>4.1</v>
      </c>
    </row>
    <row r="12">
      <c r="A12" s="494">
        <v>300.0</v>
      </c>
      <c r="B12" s="36">
        <v>13.0</v>
      </c>
      <c r="C12" s="36">
        <v>13.0</v>
      </c>
      <c r="D12" s="36">
        <v>13.0</v>
      </c>
      <c r="E12" s="36">
        <v>13.0</v>
      </c>
      <c r="F12" s="36">
        <v>13.0</v>
      </c>
      <c r="G12" s="36">
        <v>13.0</v>
      </c>
      <c r="H12" s="36">
        <v>13.0</v>
      </c>
      <c r="I12" s="36">
        <v>13.0</v>
      </c>
      <c r="K12" s="494">
        <v>300.0</v>
      </c>
      <c r="L12" s="506">
        <f>Bajadas!G5</f>
        <v>173713.4588</v>
      </c>
      <c r="M12" s="506">
        <f>Bajadas!H5</f>
        <v>173945.5088</v>
      </c>
      <c r="N12" s="29">
        <f>Bajadas!G5</f>
        <v>173713.4588</v>
      </c>
      <c r="O12" s="29">
        <f>Bajadas!$H$5</f>
        <v>173945.5088</v>
      </c>
      <c r="P12" s="506">
        <f>Bajadas!G5</f>
        <v>173713.4588</v>
      </c>
      <c r="Q12" s="506">
        <f>Bajadas!H5</f>
        <v>173945.5088</v>
      </c>
      <c r="R12" s="506">
        <f>Bajadas!$G$5</f>
        <v>173713.4588</v>
      </c>
      <c r="S12" s="506">
        <f>Bajadas!$H$5</f>
        <v>173945.5088</v>
      </c>
      <c r="U12" s="494">
        <v>300.0</v>
      </c>
      <c r="V12" s="36"/>
      <c r="W12" s="36"/>
      <c r="X12" s="20">
        <f>Laminado!J9</f>
        <v>115.8232988</v>
      </c>
      <c r="Y12" s="3"/>
      <c r="Z12" s="29">
        <f>Laminado!C9</f>
        <v>138.9879585</v>
      </c>
      <c r="AA12" s="29"/>
      <c r="AB12" s="29">
        <f>Laminado!C8</f>
        <v>151.2516019</v>
      </c>
      <c r="AC12" s="36">
        <f>Laminado!C8*2</f>
        <v>302.5032039</v>
      </c>
      <c r="AE12" s="494">
        <v>300.0</v>
      </c>
      <c r="AF12" s="32">
        <v>700.0</v>
      </c>
      <c r="AG12" s="32">
        <v>700.0</v>
      </c>
      <c r="AH12" s="32">
        <v>700.0</v>
      </c>
      <c r="AI12" s="32">
        <v>700.0</v>
      </c>
      <c r="AJ12" s="32">
        <v>700.0</v>
      </c>
      <c r="AK12" s="32">
        <v>700.0</v>
      </c>
      <c r="AL12" s="32">
        <v>700.0</v>
      </c>
      <c r="AM12" s="32">
        <v>700.0</v>
      </c>
      <c r="AO12" s="494">
        <v>300.0</v>
      </c>
      <c r="AP12" s="507">
        <f t="shared" ref="AP12:AR12" si="20">(B12*L12)+V12*B12+AF12</f>
        <v>2258974.964</v>
      </c>
      <c r="AQ12" s="507">
        <f t="shared" si="20"/>
        <v>2261991.614</v>
      </c>
      <c r="AR12" s="508">
        <f t="shared" si="20"/>
        <v>2260480.667</v>
      </c>
      <c r="AS12" s="508">
        <f t="shared" si="6"/>
        <v>2263497.317</v>
      </c>
      <c r="AT12" s="509">
        <f t="shared" si="7"/>
        <v>2260781.807</v>
      </c>
      <c r="AU12" s="509">
        <f t="shared" si="8"/>
        <v>2263798.457</v>
      </c>
      <c r="AV12" s="510">
        <f t="shared" ref="AV12:AW12" si="21">(H12*R12)+AB12*H12+AL12</f>
        <v>2260941.235</v>
      </c>
      <c r="AW12" s="510">
        <f t="shared" si="21"/>
        <v>2265924.155</v>
      </c>
      <c r="AZ12" s="3">
        <v>1.2</v>
      </c>
      <c r="BA12" s="494">
        <v>300.0</v>
      </c>
      <c r="BB12" s="507">
        <f t="shared" si="10"/>
        <v>2710769.957</v>
      </c>
      <c r="BC12" s="507">
        <f t="shared" si="11"/>
        <v>2714389.937</v>
      </c>
      <c r="BD12" s="508">
        <f t="shared" si="12"/>
        <v>2712576.8</v>
      </c>
      <c r="BE12" s="508">
        <f t="shared" si="13"/>
        <v>2716196.78</v>
      </c>
      <c r="BF12" s="509">
        <f t="shared" si="14"/>
        <v>2712938.169</v>
      </c>
      <c r="BG12" s="509">
        <f t="shared" si="15"/>
        <v>2716558.149</v>
      </c>
      <c r="BH12" s="510">
        <f t="shared" si="16"/>
        <v>2713129.481</v>
      </c>
      <c r="BI12" s="510">
        <f t="shared" si="17"/>
        <v>2719108.986</v>
      </c>
      <c r="BJ12" s="108">
        <v>255.0</v>
      </c>
      <c r="BK12" s="108">
        <v>345.0</v>
      </c>
      <c r="BL12" s="511">
        <f t="shared" ref="BL12:BM12" si="22">BH12*1.4</f>
        <v>3798381.274</v>
      </c>
      <c r="BM12" s="511">
        <f t="shared" si="22"/>
        <v>3806752.581</v>
      </c>
      <c r="BO12" s="494">
        <v>300.0</v>
      </c>
      <c r="BP12" s="3">
        <v>2.7</v>
      </c>
      <c r="BQ12" s="3">
        <v>5.5</v>
      </c>
      <c r="BR12" s="3">
        <v>2.7</v>
      </c>
      <c r="BS12" s="3">
        <v>5.5</v>
      </c>
      <c r="BT12" s="3">
        <v>2.7</v>
      </c>
      <c r="BU12" s="3">
        <v>5.5</v>
      </c>
      <c r="BV12" s="3">
        <v>2.7</v>
      </c>
      <c r="BW12" s="3">
        <v>5.5</v>
      </c>
      <c r="BY12" s="281">
        <v>300.0</v>
      </c>
      <c r="BZ12" s="29">
        <f t="shared" ref="BZ12:CG12" si="23">CEILING(BP12*BP$6,0.05)</f>
        <v>4.35</v>
      </c>
      <c r="CA12" s="29">
        <f t="shared" si="23"/>
        <v>8.8</v>
      </c>
      <c r="CB12" s="29">
        <f t="shared" si="23"/>
        <v>5.4</v>
      </c>
      <c r="CC12" s="29">
        <f t="shared" si="23"/>
        <v>11</v>
      </c>
      <c r="CD12" s="29">
        <f t="shared" si="23"/>
        <v>4.9</v>
      </c>
      <c r="CE12" s="29">
        <f t="shared" si="23"/>
        <v>9.9</v>
      </c>
      <c r="CF12" s="29">
        <f t="shared" si="23"/>
        <v>1.9</v>
      </c>
      <c r="CG12" s="29">
        <f t="shared" si="23"/>
        <v>3.85</v>
      </c>
    </row>
    <row r="13">
      <c r="A13" s="494">
        <v>500.0</v>
      </c>
      <c r="B13" s="36">
        <v>21.0</v>
      </c>
      <c r="C13" s="36">
        <v>21.0</v>
      </c>
      <c r="D13" s="36">
        <v>21.0</v>
      </c>
      <c r="E13" s="36">
        <v>21.0</v>
      </c>
      <c r="F13" s="36">
        <v>21.0</v>
      </c>
      <c r="G13" s="36">
        <v>21.0</v>
      </c>
      <c r="H13" s="36">
        <v>21.0</v>
      </c>
      <c r="I13" s="36">
        <v>21.0</v>
      </c>
      <c r="K13" s="494">
        <v>500.0</v>
      </c>
      <c r="L13" s="506">
        <f>Bajadas!G5</f>
        <v>173713.4588</v>
      </c>
      <c r="M13" s="506">
        <f>Bajadas!H5</f>
        <v>173945.5088</v>
      </c>
      <c r="N13" s="29">
        <f>Bajadas!G5</f>
        <v>173713.4588</v>
      </c>
      <c r="O13" s="29">
        <f>Bajadas!$H$5</f>
        <v>173945.5088</v>
      </c>
      <c r="P13" s="506">
        <f>Bajadas!G5</f>
        <v>173713.4588</v>
      </c>
      <c r="Q13" s="506">
        <f>Bajadas!H5</f>
        <v>173945.5088</v>
      </c>
      <c r="R13" s="506">
        <f>Bajadas!$G$5</f>
        <v>173713.4588</v>
      </c>
      <c r="S13" s="506">
        <f>Bajadas!$H$5</f>
        <v>173945.5088</v>
      </c>
      <c r="U13" s="494">
        <v>500.0</v>
      </c>
      <c r="V13" s="36"/>
      <c r="W13" s="36"/>
      <c r="X13" s="20">
        <f>Laminado!J10</f>
        <v>105.603596</v>
      </c>
      <c r="Y13" s="3"/>
      <c r="Z13" s="29">
        <f>Laminado!C10</f>
        <v>126.7243151</v>
      </c>
      <c r="AA13" s="29"/>
      <c r="AB13" s="29">
        <f>Laminado!C8</f>
        <v>151.2516019</v>
      </c>
      <c r="AC13" s="36">
        <f>Laminado!C8*2</f>
        <v>302.5032039</v>
      </c>
      <c r="AE13" s="494">
        <v>500.0</v>
      </c>
      <c r="AF13" s="32">
        <v>1000.0</v>
      </c>
      <c r="AG13" s="32">
        <v>1000.0</v>
      </c>
      <c r="AH13" s="32">
        <v>1000.0</v>
      </c>
      <c r="AI13" s="32">
        <v>1000.0</v>
      </c>
      <c r="AJ13" s="32">
        <v>1000.0</v>
      </c>
      <c r="AK13" s="32">
        <v>1000.0</v>
      </c>
      <c r="AL13" s="32">
        <v>1000.0</v>
      </c>
      <c r="AM13" s="32">
        <v>1000.0</v>
      </c>
      <c r="AO13" s="494">
        <v>500.0</v>
      </c>
      <c r="AP13" s="507">
        <f t="shared" ref="AP13:AR13" si="24">(B13*L13)+V13*B13+AF13</f>
        <v>3648982.634</v>
      </c>
      <c r="AQ13" s="507">
        <f t="shared" si="24"/>
        <v>3653855.684</v>
      </c>
      <c r="AR13" s="508">
        <f t="shared" si="24"/>
        <v>3651200.309</v>
      </c>
      <c r="AS13" s="508">
        <f t="shared" si="6"/>
        <v>3656073.359</v>
      </c>
      <c r="AT13" s="509">
        <f t="shared" si="7"/>
        <v>3651643.844</v>
      </c>
      <c r="AU13" s="509">
        <f t="shared" si="8"/>
        <v>3656516.894</v>
      </c>
      <c r="AV13" s="510">
        <f t="shared" ref="AV13:AW13" si="25">(H13*R13)+AB13*H13+AL13</f>
        <v>3652158.917</v>
      </c>
      <c r="AW13" s="510">
        <f t="shared" si="25"/>
        <v>3660208.251</v>
      </c>
      <c r="AZ13" s="3">
        <v>1.2</v>
      </c>
      <c r="BA13" s="494">
        <v>500.0</v>
      </c>
      <c r="BB13" s="507">
        <f t="shared" si="10"/>
        <v>4378779.161</v>
      </c>
      <c r="BC13" s="507">
        <f t="shared" si="11"/>
        <v>4384626.821</v>
      </c>
      <c r="BD13" s="508">
        <f t="shared" si="12"/>
        <v>4381440.371</v>
      </c>
      <c r="BE13" s="508">
        <f t="shared" si="13"/>
        <v>4387288.031</v>
      </c>
      <c r="BF13" s="509">
        <f t="shared" si="14"/>
        <v>4381972.613</v>
      </c>
      <c r="BG13" s="509">
        <f t="shared" si="15"/>
        <v>4387820.273</v>
      </c>
      <c r="BH13" s="510">
        <f t="shared" si="16"/>
        <v>4382590.701</v>
      </c>
      <c r="BI13" s="510">
        <f t="shared" si="17"/>
        <v>4392249.901</v>
      </c>
      <c r="BJ13" s="108">
        <v>348.0</v>
      </c>
      <c r="BK13" s="108">
        <v>493.0</v>
      </c>
      <c r="BL13" s="511">
        <f t="shared" ref="BL13:BM13" si="26">BH13*1.4</f>
        <v>6135626.981</v>
      </c>
      <c r="BM13" s="511">
        <f t="shared" si="26"/>
        <v>6149149.862</v>
      </c>
      <c r="BO13" s="494">
        <v>500.0</v>
      </c>
      <c r="BP13" s="3">
        <v>2.5</v>
      </c>
      <c r="BQ13" s="3">
        <v>5.0</v>
      </c>
      <c r="BR13" s="3">
        <v>2.5</v>
      </c>
      <c r="BS13" s="3">
        <v>5.0</v>
      </c>
      <c r="BT13" s="3">
        <v>2.5</v>
      </c>
      <c r="BU13" s="3">
        <v>5.0</v>
      </c>
      <c r="BV13" s="3">
        <v>2.5</v>
      </c>
      <c r="BW13" s="3">
        <v>5.0</v>
      </c>
      <c r="BY13" s="281">
        <v>500.0</v>
      </c>
      <c r="BZ13" s="29">
        <f t="shared" ref="BZ13:CG13" si="27">CEILING(BP13*BP$6,0.05)</f>
        <v>4</v>
      </c>
      <c r="CA13" s="29">
        <f t="shared" si="27"/>
        <v>8</v>
      </c>
      <c r="CB13" s="29">
        <f t="shared" si="27"/>
        <v>5</v>
      </c>
      <c r="CC13" s="29">
        <f t="shared" si="27"/>
        <v>10</v>
      </c>
      <c r="CD13" s="29">
        <f t="shared" si="27"/>
        <v>4.5</v>
      </c>
      <c r="CE13" s="29">
        <f t="shared" si="27"/>
        <v>9</v>
      </c>
      <c r="CF13" s="29">
        <f t="shared" si="27"/>
        <v>1.75</v>
      </c>
      <c r="CG13" s="29">
        <f t="shared" si="27"/>
        <v>3.5</v>
      </c>
    </row>
    <row r="14">
      <c r="A14" s="494">
        <v>1000.0</v>
      </c>
      <c r="B14" s="36">
        <v>42.0</v>
      </c>
      <c r="C14" s="36">
        <v>42.0</v>
      </c>
      <c r="D14" s="36">
        <v>42.0</v>
      </c>
      <c r="E14" s="36">
        <v>42.0</v>
      </c>
      <c r="F14" s="36">
        <v>42.0</v>
      </c>
      <c r="G14" s="36">
        <v>42.0</v>
      </c>
      <c r="H14" s="36">
        <v>42.0</v>
      </c>
      <c r="I14" s="36">
        <v>42.0</v>
      </c>
      <c r="K14" s="494">
        <v>1000.0</v>
      </c>
      <c r="L14" s="506">
        <f>Bajadas!G6</f>
        <v>168604.2394</v>
      </c>
      <c r="M14" s="506">
        <f>Bajadas!H6</f>
        <v>168829.4644</v>
      </c>
      <c r="N14" s="29">
        <f>Bajadas!G6</f>
        <v>168604.2394</v>
      </c>
      <c r="O14" s="29">
        <f>Bajadas!H6</f>
        <v>168829.4644</v>
      </c>
      <c r="P14" s="506">
        <f>Bajadas!G6</f>
        <v>168604.2394</v>
      </c>
      <c r="Q14" s="506">
        <f>Bajadas!H6</f>
        <v>168829.4644</v>
      </c>
      <c r="R14" s="506">
        <f>Bajadas!G6</f>
        <v>168604.2394</v>
      </c>
      <c r="S14" s="506">
        <f>Bajadas!$H$6</f>
        <v>168829.4644</v>
      </c>
      <c r="U14" s="494">
        <v>1000.0</v>
      </c>
      <c r="V14" s="36"/>
      <c r="W14" s="36"/>
      <c r="X14" s="20">
        <f>Laminado!J11</f>
        <v>98.79046073</v>
      </c>
      <c r="Y14" s="3"/>
      <c r="Z14" s="29">
        <f>Laminado!C11</f>
        <v>118.5485529</v>
      </c>
      <c r="AA14" s="29"/>
      <c r="AB14" s="29">
        <f>Laminado!C8</f>
        <v>151.2516019</v>
      </c>
      <c r="AC14" s="36">
        <f>Laminado!C8*2</f>
        <v>302.5032039</v>
      </c>
      <c r="AE14" s="494">
        <v>1000.0</v>
      </c>
      <c r="AF14" s="32">
        <v>1600.0</v>
      </c>
      <c r="AG14" s="32">
        <v>1600.0</v>
      </c>
      <c r="AH14" s="32">
        <v>1600.0</v>
      </c>
      <c r="AI14" s="32">
        <v>1600.0</v>
      </c>
      <c r="AJ14" s="32">
        <v>1600.0</v>
      </c>
      <c r="AK14" s="32">
        <v>1600.0</v>
      </c>
      <c r="AL14" s="32">
        <v>1600.0</v>
      </c>
      <c r="AM14" s="32">
        <v>1600.0</v>
      </c>
      <c r="AO14" s="494">
        <v>1000.0</v>
      </c>
      <c r="AP14" s="507">
        <f t="shared" ref="AP14:AR14" si="28">(B14*L14)+V14*B14+AF14</f>
        <v>7082978.054</v>
      </c>
      <c r="AQ14" s="507">
        <f t="shared" si="28"/>
        <v>7092437.504</v>
      </c>
      <c r="AR14" s="508">
        <f t="shared" si="28"/>
        <v>7087127.253</v>
      </c>
      <c r="AS14" s="508">
        <f t="shared" si="6"/>
        <v>7096586.703</v>
      </c>
      <c r="AT14" s="509">
        <f t="shared" si="7"/>
        <v>7087957.093</v>
      </c>
      <c r="AU14" s="509">
        <f t="shared" si="8"/>
        <v>7097416.543</v>
      </c>
      <c r="AV14" s="510">
        <f t="shared" ref="AV14:AW14" si="29">(H14*R14)+AB14*H14+AL14</f>
        <v>7089330.621</v>
      </c>
      <c r="AW14" s="510">
        <f t="shared" si="29"/>
        <v>7105142.638</v>
      </c>
      <c r="AZ14" s="3">
        <v>1.2</v>
      </c>
      <c r="BA14" s="494">
        <v>1000.0</v>
      </c>
      <c r="BB14" s="507">
        <f t="shared" si="10"/>
        <v>8499573.665</v>
      </c>
      <c r="BC14" s="507">
        <f t="shared" si="11"/>
        <v>8510925.005</v>
      </c>
      <c r="BD14" s="508">
        <f t="shared" si="12"/>
        <v>8504552.704</v>
      </c>
      <c r="BE14" s="508">
        <f t="shared" si="13"/>
        <v>8515904.044</v>
      </c>
      <c r="BF14" s="509">
        <f t="shared" si="14"/>
        <v>8505548.512</v>
      </c>
      <c r="BG14" s="509">
        <f t="shared" si="15"/>
        <v>8516899.852</v>
      </c>
      <c r="BH14" s="510">
        <f t="shared" si="16"/>
        <v>8507196.745</v>
      </c>
      <c r="BI14" s="510">
        <f t="shared" si="17"/>
        <v>8526171.166</v>
      </c>
      <c r="BJ14" s="108">
        <v>548.0</v>
      </c>
      <c r="BK14" s="108">
        <v>831.0</v>
      </c>
      <c r="BL14" s="511">
        <f t="shared" ref="BL14:BM14" si="30">BH14*1.4</f>
        <v>11910075.44</v>
      </c>
      <c r="BM14" s="511">
        <f t="shared" si="30"/>
        <v>11936639.63</v>
      </c>
      <c r="BO14" s="494">
        <v>1000.0</v>
      </c>
      <c r="BP14" s="3">
        <v>2.0</v>
      </c>
      <c r="BQ14" s="3">
        <v>4.0</v>
      </c>
      <c r="BR14" s="3">
        <v>2.0</v>
      </c>
      <c r="BS14" s="3">
        <v>4.0</v>
      </c>
      <c r="BT14" s="3">
        <v>2.0</v>
      </c>
      <c r="BU14" s="3">
        <v>4.0</v>
      </c>
      <c r="BV14" s="3">
        <v>2.0</v>
      </c>
      <c r="BW14" s="3">
        <v>4.0</v>
      </c>
      <c r="BY14" s="281">
        <v>1000.0</v>
      </c>
      <c r="BZ14" s="29">
        <f t="shared" ref="BZ14:CG14" si="31">CEILING(BP14*BP$6,0.05)</f>
        <v>3.2</v>
      </c>
      <c r="CA14" s="29">
        <f t="shared" si="31"/>
        <v>6.4</v>
      </c>
      <c r="CB14" s="29">
        <f t="shared" si="31"/>
        <v>4</v>
      </c>
      <c r="CC14" s="29">
        <f t="shared" si="31"/>
        <v>8</v>
      </c>
      <c r="CD14" s="29">
        <f t="shared" si="31"/>
        <v>3.6</v>
      </c>
      <c r="CE14" s="29">
        <f t="shared" si="31"/>
        <v>7.2</v>
      </c>
      <c r="CF14" s="29">
        <f t="shared" si="31"/>
        <v>1.4</v>
      </c>
      <c r="CG14" s="29">
        <f t="shared" si="31"/>
        <v>2.8</v>
      </c>
    </row>
    <row r="15">
      <c r="BA15" s="3"/>
      <c r="BB15" s="3"/>
      <c r="BC15" s="3"/>
      <c r="BD15" s="3"/>
      <c r="BE15" s="3"/>
      <c r="BF15" s="3"/>
      <c r="BG15" s="3"/>
      <c r="BH15" s="3"/>
      <c r="BI15" s="3"/>
      <c r="BZ15" s="512"/>
      <c r="CA15" s="512"/>
    </row>
    <row r="16">
      <c r="A16" s="28" t="s">
        <v>483</v>
      </c>
      <c r="BA16" s="3"/>
      <c r="BB16" s="3"/>
      <c r="BC16" s="3"/>
      <c r="BD16" s="3"/>
      <c r="BE16" s="3"/>
      <c r="BF16" s="3"/>
      <c r="BG16" s="3"/>
      <c r="BH16" s="3"/>
      <c r="BI16" s="3"/>
      <c r="BY16" s="3" t="s">
        <v>499</v>
      </c>
      <c r="BZ16" s="512"/>
      <c r="CA16" s="512"/>
    </row>
    <row r="17">
      <c r="A17" s="3" t="s">
        <v>485</v>
      </c>
      <c r="AO17" s="3" t="s">
        <v>500</v>
      </c>
      <c r="BA17" s="3" t="s">
        <v>500</v>
      </c>
      <c r="BB17" s="3"/>
      <c r="BC17" s="3"/>
      <c r="BD17" s="3"/>
      <c r="BE17" s="3"/>
      <c r="BF17" s="3"/>
      <c r="BG17" s="3"/>
      <c r="BH17" s="3"/>
      <c r="BI17" s="3"/>
      <c r="BY17" s="3" t="s">
        <v>501</v>
      </c>
    </row>
    <row r="18">
      <c r="A18" s="116" t="s">
        <v>502</v>
      </c>
      <c r="B18" s="116"/>
      <c r="BA18" s="3"/>
      <c r="BB18" s="3"/>
      <c r="BC18" s="3"/>
      <c r="BD18" s="3"/>
      <c r="BE18" s="3"/>
      <c r="BF18" s="3"/>
      <c r="BG18" s="3"/>
      <c r="BH18" s="3"/>
      <c r="BI18" s="3"/>
      <c r="BY18" s="3" t="s">
        <v>503</v>
      </c>
      <c r="CA18" s="123"/>
    </row>
    <row r="19">
      <c r="A19" s="3" t="s">
        <v>487</v>
      </c>
      <c r="D19" s="488" t="s">
        <v>489</v>
      </c>
      <c r="E19" s="489"/>
      <c r="F19" s="489"/>
      <c r="G19" s="489"/>
      <c r="H19" s="489"/>
      <c r="I19" s="489"/>
      <c r="L19" s="490" t="s">
        <v>490</v>
      </c>
      <c r="M19" s="491"/>
      <c r="N19" s="491"/>
      <c r="O19" s="491"/>
      <c r="P19" s="491"/>
      <c r="Q19" s="492"/>
      <c r="R19" s="282"/>
      <c r="S19" s="282"/>
      <c r="V19" s="490" t="s">
        <v>491</v>
      </c>
      <c r="W19" s="491"/>
      <c r="X19" s="491"/>
      <c r="Y19" s="491"/>
      <c r="Z19" s="491"/>
      <c r="AA19" s="491"/>
      <c r="AB19" s="491"/>
      <c r="AC19" s="492"/>
      <c r="AE19" s="490" t="s">
        <v>492</v>
      </c>
      <c r="AF19" s="491"/>
      <c r="AG19" s="491"/>
      <c r="AH19" s="491"/>
      <c r="AI19" s="491"/>
      <c r="AJ19" s="492"/>
      <c r="AK19" s="282"/>
      <c r="AL19" s="282"/>
      <c r="AM19" s="282"/>
      <c r="AO19" s="490" t="s">
        <v>504</v>
      </c>
      <c r="AP19" s="491"/>
      <c r="AQ19" s="491"/>
      <c r="AR19" s="491"/>
      <c r="AS19" s="491"/>
      <c r="AT19" s="491"/>
      <c r="AU19" s="491"/>
      <c r="AV19" s="491"/>
      <c r="AW19" s="492"/>
      <c r="BA19" s="490" t="s">
        <v>504</v>
      </c>
      <c r="BB19" s="491"/>
      <c r="BC19" s="491"/>
      <c r="BD19" s="491"/>
      <c r="BE19" s="491"/>
      <c r="BF19" s="491"/>
      <c r="BG19" s="491"/>
      <c r="BH19" s="491"/>
      <c r="BI19" s="492"/>
      <c r="BY19" s="3" t="s">
        <v>505</v>
      </c>
      <c r="CA19" s="123"/>
    </row>
    <row r="20">
      <c r="A20" s="494" t="s">
        <v>104</v>
      </c>
      <c r="B20" s="496" t="s">
        <v>473</v>
      </c>
      <c r="C20" s="476"/>
      <c r="D20" s="496" t="s">
        <v>71</v>
      </c>
      <c r="E20" s="476"/>
      <c r="F20" s="496" t="s">
        <v>494</v>
      </c>
      <c r="G20" s="476"/>
      <c r="H20" s="496" t="s">
        <v>495</v>
      </c>
      <c r="I20" s="497"/>
      <c r="K20" s="494" t="s">
        <v>104</v>
      </c>
      <c r="L20" s="496" t="s">
        <v>473</v>
      </c>
      <c r="M20" s="476"/>
      <c r="N20" s="496" t="s">
        <v>71</v>
      </c>
      <c r="O20" s="476"/>
      <c r="P20" s="496" t="s">
        <v>494</v>
      </c>
      <c r="Q20" s="476"/>
      <c r="R20" s="496" t="s">
        <v>495</v>
      </c>
      <c r="S20" s="497"/>
      <c r="U20" s="494" t="s">
        <v>104</v>
      </c>
      <c r="V20" s="496" t="s">
        <v>473</v>
      </c>
      <c r="W20" s="476"/>
      <c r="X20" s="496" t="s">
        <v>71</v>
      </c>
      <c r="Y20" s="476"/>
      <c r="Z20" s="496" t="s">
        <v>494</v>
      </c>
      <c r="AA20" s="476"/>
      <c r="AB20" s="496" t="s">
        <v>495</v>
      </c>
      <c r="AC20" s="497"/>
      <c r="AE20" s="494" t="s">
        <v>104</v>
      </c>
      <c r="AF20" s="496" t="s">
        <v>473</v>
      </c>
      <c r="AG20" s="476"/>
      <c r="AH20" s="496" t="s">
        <v>71</v>
      </c>
      <c r="AI20" s="476"/>
      <c r="AJ20" s="496" t="s">
        <v>494</v>
      </c>
      <c r="AK20" s="476"/>
      <c r="AL20" s="496" t="s">
        <v>495</v>
      </c>
      <c r="AM20" s="497"/>
      <c r="AO20" s="494" t="s">
        <v>104</v>
      </c>
      <c r="AP20" s="498" t="s">
        <v>473</v>
      </c>
      <c r="AQ20" s="476"/>
      <c r="AR20" s="499" t="s">
        <v>71</v>
      </c>
      <c r="AS20" s="476"/>
      <c r="AT20" s="500" t="s">
        <v>494</v>
      </c>
      <c r="AU20" s="476"/>
      <c r="AV20" s="498" t="s">
        <v>495</v>
      </c>
      <c r="AW20" s="497"/>
      <c r="AY20" s="32" t="s">
        <v>506</v>
      </c>
      <c r="BA20" s="494" t="s">
        <v>104</v>
      </c>
      <c r="BB20" s="498" t="s">
        <v>473</v>
      </c>
      <c r="BC20" s="476"/>
      <c r="BD20" s="499" t="s">
        <v>71</v>
      </c>
      <c r="BE20" s="476"/>
      <c r="BF20" s="500" t="s">
        <v>494</v>
      </c>
      <c r="BG20" s="476"/>
      <c r="BH20" s="498" t="s">
        <v>495</v>
      </c>
      <c r="BI20" s="476"/>
      <c r="BJ20" s="496" t="s">
        <v>497</v>
      </c>
      <c r="BK20" s="476"/>
      <c r="BL20" s="501" t="s">
        <v>498</v>
      </c>
      <c r="BM20" s="476"/>
      <c r="CA20" s="123"/>
    </row>
    <row r="21" ht="15.75" customHeight="1">
      <c r="A21" s="494" t="s">
        <v>496</v>
      </c>
      <c r="B21" s="494" t="s">
        <v>10</v>
      </c>
      <c r="C21" s="502" t="s">
        <v>11</v>
      </c>
      <c r="D21" s="502" t="s">
        <v>10</v>
      </c>
      <c r="E21" s="502" t="s">
        <v>11</v>
      </c>
      <c r="F21" s="494" t="s">
        <v>10</v>
      </c>
      <c r="G21" s="502" t="s">
        <v>11</v>
      </c>
      <c r="H21" s="502" t="s">
        <v>10</v>
      </c>
      <c r="I21" s="502" t="s">
        <v>11</v>
      </c>
      <c r="K21" s="494" t="s">
        <v>496</v>
      </c>
      <c r="L21" s="494" t="s">
        <v>10</v>
      </c>
      <c r="M21" s="502" t="s">
        <v>11</v>
      </c>
      <c r="N21" s="502" t="s">
        <v>10</v>
      </c>
      <c r="O21" s="502" t="s">
        <v>11</v>
      </c>
      <c r="P21" s="494" t="s">
        <v>10</v>
      </c>
      <c r="Q21" s="502" t="s">
        <v>11</v>
      </c>
      <c r="R21" s="502" t="s">
        <v>10</v>
      </c>
      <c r="S21" s="502" t="s">
        <v>11</v>
      </c>
      <c r="U21" s="494" t="s">
        <v>496</v>
      </c>
      <c r="V21" s="494" t="s">
        <v>10</v>
      </c>
      <c r="W21" s="502" t="s">
        <v>11</v>
      </c>
      <c r="X21" s="502" t="s">
        <v>10</v>
      </c>
      <c r="Y21" s="502" t="s">
        <v>11</v>
      </c>
      <c r="Z21" s="494" t="s">
        <v>10</v>
      </c>
      <c r="AA21" s="502" t="s">
        <v>11</v>
      </c>
      <c r="AB21" s="494" t="s">
        <v>10</v>
      </c>
      <c r="AC21" s="502" t="s">
        <v>11</v>
      </c>
      <c r="AE21" s="494" t="s">
        <v>496</v>
      </c>
      <c r="AF21" s="494" t="s">
        <v>10</v>
      </c>
      <c r="AG21" s="502" t="s">
        <v>11</v>
      </c>
      <c r="AH21" s="502" t="s">
        <v>10</v>
      </c>
      <c r="AI21" s="502" t="s">
        <v>11</v>
      </c>
      <c r="AJ21" s="494" t="s">
        <v>10</v>
      </c>
      <c r="AK21" s="502" t="s">
        <v>11</v>
      </c>
      <c r="AL21" s="502" t="s">
        <v>10</v>
      </c>
      <c r="AM21" s="502" t="s">
        <v>11</v>
      </c>
      <c r="AO21" s="494" t="s">
        <v>496</v>
      </c>
      <c r="AP21" s="503" t="s">
        <v>10</v>
      </c>
      <c r="AQ21" s="504" t="s">
        <v>11</v>
      </c>
      <c r="AR21" s="504" t="s">
        <v>10</v>
      </c>
      <c r="AS21" s="504" t="s">
        <v>11</v>
      </c>
      <c r="AT21" s="503" t="s">
        <v>10</v>
      </c>
      <c r="AU21" s="504" t="s">
        <v>11</v>
      </c>
      <c r="AV21" s="504" t="s">
        <v>10</v>
      </c>
      <c r="AW21" s="504" t="s">
        <v>11</v>
      </c>
      <c r="AY21" s="513">
        <v>600.0</v>
      </c>
      <c r="AZ21" s="3">
        <v>1.2</v>
      </c>
      <c r="BA21" s="494" t="s">
        <v>496</v>
      </c>
      <c r="BB21" s="503" t="s">
        <v>10</v>
      </c>
      <c r="BC21" s="504" t="s">
        <v>11</v>
      </c>
      <c r="BD21" s="504" t="s">
        <v>10</v>
      </c>
      <c r="BE21" s="504" t="s">
        <v>11</v>
      </c>
      <c r="BF21" s="503" t="s">
        <v>10</v>
      </c>
      <c r="BG21" s="504" t="s">
        <v>11</v>
      </c>
      <c r="BH21" s="504" t="s">
        <v>10</v>
      </c>
      <c r="BI21" s="504" t="s">
        <v>11</v>
      </c>
      <c r="BJ21" s="502" t="s">
        <v>10</v>
      </c>
      <c r="BK21" s="502" t="s">
        <v>11</v>
      </c>
      <c r="BL21" s="502" t="s">
        <v>10</v>
      </c>
      <c r="BM21" s="502" t="s">
        <v>11</v>
      </c>
      <c r="BY21" s="3" t="s">
        <v>507</v>
      </c>
      <c r="CA21" s="123"/>
    </row>
    <row r="22" ht="15.75" customHeight="1">
      <c r="A22" s="494">
        <v>100.0</v>
      </c>
      <c r="B22" s="36">
        <v>5.0</v>
      </c>
      <c r="C22" s="36">
        <v>5.0</v>
      </c>
      <c r="D22" s="36">
        <v>5.0</v>
      </c>
      <c r="E22" s="36">
        <v>5.0</v>
      </c>
      <c r="F22" s="36">
        <v>5.0</v>
      </c>
      <c r="G22" s="36">
        <v>5.0</v>
      </c>
      <c r="H22" s="36">
        <v>5.0</v>
      </c>
      <c r="I22" s="36">
        <v>5.0</v>
      </c>
      <c r="K22" s="494">
        <v>100.0</v>
      </c>
      <c r="L22" s="506">
        <f>Bajadas!$C$5</f>
        <v>203036.3023</v>
      </c>
      <c r="M22" s="506">
        <f>Bajadas!$D$5</f>
        <v>203268.3523</v>
      </c>
      <c r="N22" s="29">
        <f t="shared" ref="N22:N26" si="37">$L22</f>
        <v>203036.3023</v>
      </c>
      <c r="O22" s="29">
        <f t="shared" ref="O22:O26" si="38">$M22</f>
        <v>203268.3523</v>
      </c>
      <c r="P22" s="506">
        <f t="shared" ref="P22:P26" si="39">$L22</f>
        <v>203036.3023</v>
      </c>
      <c r="Q22" s="506">
        <f t="shared" ref="Q22:Q26" si="40">$M22</f>
        <v>203268.3523</v>
      </c>
      <c r="R22" s="506">
        <f t="shared" ref="R22:R26" si="41">$L22</f>
        <v>203036.3023</v>
      </c>
      <c r="S22" s="506">
        <f t="shared" ref="S22:S26" si="42">$M22</f>
        <v>203268.3523</v>
      </c>
      <c r="U22" s="494">
        <v>100.0</v>
      </c>
      <c r="V22" s="36"/>
      <c r="W22" s="36"/>
      <c r="X22" s="20">
        <f t="shared" ref="X22:AC22" si="32">X10</f>
        <v>136.2627045</v>
      </c>
      <c r="Y22" s="20" t="str">
        <f t="shared" si="32"/>
        <v/>
      </c>
      <c r="Z22" s="20">
        <f t="shared" si="32"/>
        <v>163.5152453</v>
      </c>
      <c r="AA22" s="20" t="str">
        <f t="shared" si="32"/>
        <v/>
      </c>
      <c r="AB22" s="20">
        <f t="shared" si="32"/>
        <v>163.5152453</v>
      </c>
      <c r="AC22" s="20">
        <f t="shared" si="32"/>
        <v>327.0304907</v>
      </c>
      <c r="AE22" s="494">
        <v>100.0</v>
      </c>
      <c r="AF22" s="32">
        <v>400.0</v>
      </c>
      <c r="AG22" s="32">
        <v>400.0</v>
      </c>
      <c r="AH22" s="32">
        <v>400.0</v>
      </c>
      <c r="AI22" s="32">
        <v>400.0</v>
      </c>
      <c r="AJ22" s="32">
        <v>400.0</v>
      </c>
      <c r="AK22" s="32">
        <v>400.0</v>
      </c>
      <c r="AL22" s="32">
        <v>400.0</v>
      </c>
      <c r="AM22" s="32">
        <v>400.0</v>
      </c>
      <c r="AO22" s="494">
        <v>100.0</v>
      </c>
      <c r="AP22" s="507">
        <f t="shared" ref="AP22:AR22" si="33">(B22*L22)+V22*B22+AF22</f>
        <v>1015581.512</v>
      </c>
      <c r="AQ22" s="507">
        <f t="shared" si="33"/>
        <v>1016741.762</v>
      </c>
      <c r="AR22" s="508">
        <f t="shared" si="33"/>
        <v>1016262.825</v>
      </c>
      <c r="AS22" s="508">
        <f t="shared" ref="AS22:AS26" si="45">(E22*O22)+X22*E22+AI22</f>
        <v>1017423.075</v>
      </c>
      <c r="AT22" s="509">
        <f t="shared" ref="AT22:AT26" si="46">(F22*P22)+Z22*F22+AJ22</f>
        <v>1016399.088</v>
      </c>
      <c r="AU22" s="509">
        <f t="shared" ref="AU22:AU26" si="47">(E22*Q22)+Z22*E22+AK22</f>
        <v>1017559.338</v>
      </c>
      <c r="AV22" s="510">
        <f t="shared" ref="AV22:AW22" si="34">(H22*R22)+AB22*H22+AL22</f>
        <v>1016399.088</v>
      </c>
      <c r="AW22" s="510">
        <f t="shared" si="34"/>
        <v>1018376.914</v>
      </c>
      <c r="AY22" s="513">
        <v>1200.0</v>
      </c>
      <c r="AZ22" s="3">
        <v>1.2</v>
      </c>
      <c r="BA22" s="494">
        <v>100.0</v>
      </c>
      <c r="BB22" s="507">
        <f t="shared" ref="BB22:BB26" si="49">AP22*AZ22</f>
        <v>1218697.814</v>
      </c>
      <c r="BC22" s="507">
        <f t="shared" ref="BC22:BC26" si="50">AQ22*AZ22</f>
        <v>1220090.114</v>
      </c>
      <c r="BD22" s="508">
        <f t="shared" ref="BD22:BD26" si="51">AR22*AZ21</f>
        <v>1219515.39</v>
      </c>
      <c r="BE22" s="508">
        <f t="shared" ref="BE22:BE26" si="52">AS22*AZ22</f>
        <v>1220907.69</v>
      </c>
      <c r="BF22" s="509">
        <f t="shared" ref="BF22:BF26" si="53">AT22*AZ22</f>
        <v>1219678.905</v>
      </c>
      <c r="BG22" s="509">
        <f t="shared" ref="BG22:BG26" si="54">AU22*AZ22</f>
        <v>1221071.205</v>
      </c>
      <c r="BH22" s="510">
        <f t="shared" ref="BH22:BH26" si="55">AV22*AZ22</f>
        <v>1219678.905</v>
      </c>
      <c r="BI22" s="510">
        <f t="shared" ref="BI22:BI26" si="56">AW22*AZ22</f>
        <v>1222052.297</v>
      </c>
      <c r="BJ22" s="108">
        <f t="shared" ref="BJ22:BK22" si="35">CEILING(BH22*1.15,1)</f>
        <v>1402631</v>
      </c>
      <c r="BK22" s="108">
        <f t="shared" si="35"/>
        <v>1405361</v>
      </c>
      <c r="BL22" s="511">
        <f t="shared" ref="BL22:BM22" si="36">BH22*1.4</f>
        <v>1707550.467</v>
      </c>
      <c r="BM22" s="511">
        <f t="shared" si="36"/>
        <v>1710873.215</v>
      </c>
      <c r="CA22" s="123"/>
    </row>
    <row r="23" ht="15.75" customHeight="1">
      <c r="A23" s="494">
        <v>200.0</v>
      </c>
      <c r="B23" s="36">
        <v>9.0</v>
      </c>
      <c r="C23" s="36">
        <v>9.0</v>
      </c>
      <c r="D23" s="36">
        <v>9.0</v>
      </c>
      <c r="E23" s="36">
        <v>9.0</v>
      </c>
      <c r="F23" s="36">
        <v>9.0</v>
      </c>
      <c r="G23" s="36">
        <v>9.0</v>
      </c>
      <c r="H23" s="36">
        <v>9.0</v>
      </c>
      <c r="I23" s="36">
        <v>9.0</v>
      </c>
      <c r="K23" s="494">
        <v>200.0</v>
      </c>
      <c r="L23" s="506">
        <f>Bajadas!$C$5</f>
        <v>203036.3023</v>
      </c>
      <c r="M23" s="506">
        <f>Bajadas!$D$5</f>
        <v>203268.3523</v>
      </c>
      <c r="N23" s="29">
        <f t="shared" si="37"/>
        <v>203036.3023</v>
      </c>
      <c r="O23" s="29">
        <f t="shared" si="38"/>
        <v>203268.3523</v>
      </c>
      <c r="P23" s="506">
        <f t="shared" si="39"/>
        <v>203036.3023</v>
      </c>
      <c r="Q23" s="506">
        <f t="shared" si="40"/>
        <v>203268.3523</v>
      </c>
      <c r="R23" s="506">
        <f t="shared" si="41"/>
        <v>203036.3023</v>
      </c>
      <c r="S23" s="506">
        <f t="shared" si="42"/>
        <v>203268.3523</v>
      </c>
      <c r="U23" s="494">
        <v>200.0</v>
      </c>
      <c r="V23" s="36"/>
      <c r="W23" s="36"/>
      <c r="X23" s="20">
        <f t="shared" ref="X23:AC23" si="43">X11</f>
        <v>136.2627045</v>
      </c>
      <c r="Y23" s="20" t="str">
        <f t="shared" si="43"/>
        <v/>
      </c>
      <c r="Z23" s="20">
        <f t="shared" si="43"/>
        <v>151.2516019</v>
      </c>
      <c r="AA23" s="20" t="str">
        <f t="shared" si="43"/>
        <v/>
      </c>
      <c r="AB23" s="20">
        <f t="shared" si="43"/>
        <v>163.5152453</v>
      </c>
      <c r="AC23" s="20">
        <f t="shared" si="43"/>
        <v>327.0304907</v>
      </c>
      <c r="AE23" s="494">
        <v>200.0</v>
      </c>
      <c r="AF23" s="32">
        <v>500.0</v>
      </c>
      <c r="AG23" s="32">
        <v>500.0</v>
      </c>
      <c r="AH23" s="32">
        <v>500.0</v>
      </c>
      <c r="AI23" s="32">
        <v>500.0</v>
      </c>
      <c r="AJ23" s="32">
        <v>500.0</v>
      </c>
      <c r="AK23" s="32">
        <v>500.0</v>
      </c>
      <c r="AL23" s="32">
        <v>500.0</v>
      </c>
      <c r="AM23" s="32">
        <v>500.0</v>
      </c>
      <c r="AO23" s="494">
        <v>200.0</v>
      </c>
      <c r="AP23" s="507">
        <f t="shared" ref="AP23:AR23" si="44">(B23*L23)+V23*B23+AF23</f>
        <v>1827826.721</v>
      </c>
      <c r="AQ23" s="507">
        <f t="shared" si="44"/>
        <v>1829915.171</v>
      </c>
      <c r="AR23" s="508">
        <f t="shared" si="44"/>
        <v>1829053.085</v>
      </c>
      <c r="AS23" s="508">
        <f t="shared" si="45"/>
        <v>1831141.535</v>
      </c>
      <c r="AT23" s="509">
        <f t="shared" si="46"/>
        <v>1829187.985</v>
      </c>
      <c r="AU23" s="509">
        <f t="shared" si="47"/>
        <v>1831276.435</v>
      </c>
      <c r="AV23" s="510">
        <f t="shared" ref="AV23:AW23" si="48">(H23*R23)+AB23*H23+AL23</f>
        <v>1829298.358</v>
      </c>
      <c r="AW23" s="510">
        <f t="shared" si="48"/>
        <v>1832858.445</v>
      </c>
      <c r="AY23" s="513">
        <v>1800.0</v>
      </c>
      <c r="AZ23" s="3">
        <v>1.2</v>
      </c>
      <c r="BA23" s="494">
        <v>200.0</v>
      </c>
      <c r="BB23" s="507">
        <f t="shared" si="49"/>
        <v>2193392.065</v>
      </c>
      <c r="BC23" s="507">
        <f t="shared" si="50"/>
        <v>2195898.205</v>
      </c>
      <c r="BD23" s="508">
        <f t="shared" si="51"/>
        <v>2194863.702</v>
      </c>
      <c r="BE23" s="508">
        <f t="shared" si="52"/>
        <v>2197369.842</v>
      </c>
      <c r="BF23" s="509">
        <f t="shared" si="53"/>
        <v>2195025.582</v>
      </c>
      <c r="BG23" s="509">
        <f t="shared" si="54"/>
        <v>2197531.722</v>
      </c>
      <c r="BH23" s="510">
        <f t="shared" si="55"/>
        <v>2195158.029</v>
      </c>
      <c r="BI23" s="510">
        <f t="shared" si="56"/>
        <v>2199430.134</v>
      </c>
      <c r="BJ23" s="108">
        <f t="shared" ref="BJ23:BK23" si="57">CEILING(BH23*1.15,1)</f>
        <v>2524432</v>
      </c>
      <c r="BK23" s="108">
        <f t="shared" si="57"/>
        <v>2529345</v>
      </c>
      <c r="BL23" s="511">
        <f t="shared" ref="BL23:BM23" si="58">BH23*1.4</f>
        <v>3073221.241</v>
      </c>
      <c r="BM23" s="511">
        <f t="shared" si="58"/>
        <v>3079202.188</v>
      </c>
    </row>
    <row r="24" ht="15.75" customHeight="1">
      <c r="A24" s="494">
        <v>300.0</v>
      </c>
      <c r="B24" s="36">
        <v>13.0</v>
      </c>
      <c r="C24" s="36">
        <v>13.0</v>
      </c>
      <c r="D24" s="36">
        <v>13.0</v>
      </c>
      <c r="E24" s="36">
        <v>13.0</v>
      </c>
      <c r="F24" s="36">
        <v>13.0</v>
      </c>
      <c r="G24" s="36">
        <v>13.0</v>
      </c>
      <c r="H24" s="36">
        <v>13.0</v>
      </c>
      <c r="I24" s="36">
        <v>13.0</v>
      </c>
      <c r="K24" s="494">
        <v>300.0</v>
      </c>
      <c r="L24" s="506">
        <f>Bajadas!$C$5</f>
        <v>203036.3023</v>
      </c>
      <c r="M24" s="506">
        <f>Bajadas!$D$5</f>
        <v>203268.3523</v>
      </c>
      <c r="N24" s="29">
        <f t="shared" si="37"/>
        <v>203036.3023</v>
      </c>
      <c r="O24" s="29">
        <f t="shared" si="38"/>
        <v>203268.3523</v>
      </c>
      <c r="P24" s="506">
        <f t="shared" si="39"/>
        <v>203036.3023</v>
      </c>
      <c r="Q24" s="506">
        <f t="shared" si="40"/>
        <v>203268.3523</v>
      </c>
      <c r="R24" s="506">
        <f t="shared" si="41"/>
        <v>203036.3023</v>
      </c>
      <c r="S24" s="506">
        <f t="shared" si="42"/>
        <v>203268.3523</v>
      </c>
      <c r="U24" s="494">
        <v>300.0</v>
      </c>
      <c r="V24" s="36"/>
      <c r="W24" s="36"/>
      <c r="X24" s="20">
        <f t="shared" ref="X24:AC24" si="59">X12</f>
        <v>115.8232988</v>
      </c>
      <c r="Y24" s="20" t="str">
        <f t="shared" si="59"/>
        <v/>
      </c>
      <c r="Z24" s="20">
        <f t="shared" si="59"/>
        <v>138.9879585</v>
      </c>
      <c r="AA24" s="20" t="str">
        <f t="shared" si="59"/>
        <v/>
      </c>
      <c r="AB24" s="20">
        <f t="shared" si="59"/>
        <v>151.2516019</v>
      </c>
      <c r="AC24" s="20">
        <f t="shared" si="59"/>
        <v>302.5032039</v>
      </c>
      <c r="AE24" s="494">
        <v>300.0</v>
      </c>
      <c r="AF24" s="32">
        <v>700.0</v>
      </c>
      <c r="AG24" s="32">
        <v>700.0</v>
      </c>
      <c r="AH24" s="32">
        <v>700.0</v>
      </c>
      <c r="AI24" s="32">
        <v>700.0</v>
      </c>
      <c r="AJ24" s="32">
        <v>700.0</v>
      </c>
      <c r="AK24" s="32">
        <v>700.0</v>
      </c>
      <c r="AL24" s="32">
        <v>700.0</v>
      </c>
      <c r="AM24" s="32">
        <v>700.0</v>
      </c>
      <c r="AO24" s="494">
        <v>300.0</v>
      </c>
      <c r="AP24" s="507">
        <f t="shared" ref="AP24:AR24" si="60">(B24*L24)+V24*B24+AF24</f>
        <v>2640171.93</v>
      </c>
      <c r="AQ24" s="507">
        <f t="shared" si="60"/>
        <v>2643188.58</v>
      </c>
      <c r="AR24" s="508">
        <f t="shared" si="60"/>
        <v>2641677.633</v>
      </c>
      <c r="AS24" s="508">
        <f t="shared" si="45"/>
        <v>2644694.283</v>
      </c>
      <c r="AT24" s="509">
        <f t="shared" si="46"/>
        <v>2641978.773</v>
      </c>
      <c r="AU24" s="509">
        <f t="shared" si="47"/>
        <v>2644995.423</v>
      </c>
      <c r="AV24" s="510">
        <f t="shared" ref="AV24:AW24" si="61">(H24*R24)+AB24*H24+AL24</f>
        <v>2642138.201</v>
      </c>
      <c r="AW24" s="510">
        <f t="shared" si="61"/>
        <v>2647121.122</v>
      </c>
      <c r="AY24" s="513">
        <v>2150.0</v>
      </c>
      <c r="AZ24" s="3">
        <v>1.2</v>
      </c>
      <c r="BA24" s="494">
        <v>300.0</v>
      </c>
      <c r="BB24" s="507">
        <f t="shared" si="49"/>
        <v>3168206.316</v>
      </c>
      <c r="BC24" s="507">
        <f t="shared" si="50"/>
        <v>3171826.296</v>
      </c>
      <c r="BD24" s="508">
        <f t="shared" si="51"/>
        <v>3170013.159</v>
      </c>
      <c r="BE24" s="508">
        <f t="shared" si="52"/>
        <v>3173633.139</v>
      </c>
      <c r="BF24" s="509">
        <f t="shared" si="53"/>
        <v>3170374.528</v>
      </c>
      <c r="BG24" s="509">
        <f t="shared" si="54"/>
        <v>3173994.508</v>
      </c>
      <c r="BH24" s="510">
        <f t="shared" si="55"/>
        <v>3170565.841</v>
      </c>
      <c r="BI24" s="510">
        <f t="shared" si="56"/>
        <v>3176545.346</v>
      </c>
      <c r="BJ24" s="108">
        <f t="shared" ref="BJ24:BK24" si="62">CEILING(BH24*1.15,1)</f>
        <v>3646151</v>
      </c>
      <c r="BK24" s="108">
        <f t="shared" si="62"/>
        <v>3653028</v>
      </c>
      <c r="BL24" s="511">
        <f t="shared" ref="BL24:BM24" si="63">BH24*1.4</f>
        <v>4438792.177</v>
      </c>
      <c r="BM24" s="511">
        <f t="shared" si="63"/>
        <v>4447163.484</v>
      </c>
    </row>
    <row r="25" ht="15.75" customHeight="1">
      <c r="A25" s="494">
        <v>500.0</v>
      </c>
      <c r="B25" s="36">
        <v>21.0</v>
      </c>
      <c r="C25" s="36">
        <v>21.0</v>
      </c>
      <c r="D25" s="36">
        <v>21.0</v>
      </c>
      <c r="E25" s="36">
        <v>21.0</v>
      </c>
      <c r="F25" s="36">
        <v>21.0</v>
      </c>
      <c r="G25" s="36">
        <v>21.0</v>
      </c>
      <c r="H25" s="36">
        <v>21.0</v>
      </c>
      <c r="I25" s="36">
        <v>21.0</v>
      </c>
      <c r="K25" s="494">
        <v>500.0</v>
      </c>
      <c r="L25" s="506">
        <f>Bajadas!$C$5</f>
        <v>203036.3023</v>
      </c>
      <c r="M25" s="506">
        <f>Bajadas!$D$5</f>
        <v>203268.3523</v>
      </c>
      <c r="N25" s="29">
        <f t="shared" si="37"/>
        <v>203036.3023</v>
      </c>
      <c r="O25" s="29">
        <f t="shared" si="38"/>
        <v>203268.3523</v>
      </c>
      <c r="P25" s="506">
        <f t="shared" si="39"/>
        <v>203036.3023</v>
      </c>
      <c r="Q25" s="506">
        <f t="shared" si="40"/>
        <v>203268.3523</v>
      </c>
      <c r="R25" s="506">
        <f t="shared" si="41"/>
        <v>203036.3023</v>
      </c>
      <c r="S25" s="506">
        <f t="shared" si="42"/>
        <v>203268.3523</v>
      </c>
      <c r="U25" s="494">
        <v>500.0</v>
      </c>
      <c r="V25" s="36"/>
      <c r="W25" s="36"/>
      <c r="X25" s="20">
        <f t="shared" ref="X25:AC25" si="64">X13</f>
        <v>105.603596</v>
      </c>
      <c r="Y25" s="20" t="str">
        <f t="shared" si="64"/>
        <v/>
      </c>
      <c r="Z25" s="20">
        <f t="shared" si="64"/>
        <v>126.7243151</v>
      </c>
      <c r="AA25" s="20" t="str">
        <f t="shared" si="64"/>
        <v/>
      </c>
      <c r="AB25" s="20">
        <f t="shared" si="64"/>
        <v>151.2516019</v>
      </c>
      <c r="AC25" s="20">
        <f t="shared" si="64"/>
        <v>302.5032039</v>
      </c>
      <c r="AE25" s="494">
        <v>500.0</v>
      </c>
      <c r="AF25" s="32">
        <v>1000.0</v>
      </c>
      <c r="AG25" s="32">
        <v>1000.0</v>
      </c>
      <c r="AH25" s="32">
        <v>1000.0</v>
      </c>
      <c r="AI25" s="32">
        <v>1000.0</v>
      </c>
      <c r="AJ25" s="32">
        <v>1000.0</v>
      </c>
      <c r="AK25" s="32">
        <v>1000.0</v>
      </c>
      <c r="AL25" s="32">
        <v>1000.0</v>
      </c>
      <c r="AM25" s="32">
        <v>1000.0</v>
      </c>
      <c r="AO25" s="494">
        <v>500.0</v>
      </c>
      <c r="AP25" s="507">
        <f t="shared" ref="AP25:AR25" si="65">(B25*L25)+V25*B25+AF25</f>
        <v>4264762.348</v>
      </c>
      <c r="AQ25" s="507">
        <f t="shared" si="65"/>
        <v>4269635.398</v>
      </c>
      <c r="AR25" s="508">
        <f t="shared" si="65"/>
        <v>4266980.024</v>
      </c>
      <c r="AS25" s="508">
        <f t="shared" si="45"/>
        <v>4271853.074</v>
      </c>
      <c r="AT25" s="509">
        <f t="shared" si="46"/>
        <v>4267423.559</v>
      </c>
      <c r="AU25" s="509">
        <f t="shared" si="47"/>
        <v>4272296.609</v>
      </c>
      <c r="AV25" s="510">
        <f t="shared" ref="AV25:AW25" si="66">(H25*R25)+AB25*H25+AL25</f>
        <v>4267938.632</v>
      </c>
      <c r="AW25" s="510">
        <f t="shared" si="66"/>
        <v>4275987.966</v>
      </c>
      <c r="AY25" s="513">
        <v>3000.0</v>
      </c>
      <c r="AZ25" s="3">
        <v>1.2</v>
      </c>
      <c r="BA25" s="494">
        <v>500.0</v>
      </c>
      <c r="BB25" s="507">
        <f t="shared" si="49"/>
        <v>5117714.818</v>
      </c>
      <c r="BC25" s="507">
        <f t="shared" si="50"/>
        <v>5123562.478</v>
      </c>
      <c r="BD25" s="508">
        <f t="shared" si="51"/>
        <v>5120376.029</v>
      </c>
      <c r="BE25" s="508">
        <f t="shared" si="52"/>
        <v>5126223.689</v>
      </c>
      <c r="BF25" s="509">
        <f t="shared" si="53"/>
        <v>5120908.271</v>
      </c>
      <c r="BG25" s="509">
        <f t="shared" si="54"/>
        <v>5126755.931</v>
      </c>
      <c r="BH25" s="510">
        <f t="shared" si="55"/>
        <v>5121526.358</v>
      </c>
      <c r="BI25" s="510">
        <f t="shared" si="56"/>
        <v>5131185.559</v>
      </c>
      <c r="BJ25" s="108">
        <f t="shared" ref="BJ25:BK25" si="67">CEILING(BH25*1.15,1)</f>
        <v>5889756</v>
      </c>
      <c r="BK25" s="108">
        <f t="shared" si="67"/>
        <v>5900864</v>
      </c>
      <c r="BL25" s="511">
        <f t="shared" ref="BL25:BM25" si="68">BH25*1.4</f>
        <v>7170136.902</v>
      </c>
      <c r="BM25" s="511">
        <f t="shared" si="68"/>
        <v>7183659.782</v>
      </c>
    </row>
    <row r="26" ht="15.75" customHeight="1">
      <c r="A26" s="494">
        <v>1000.0</v>
      </c>
      <c r="B26" s="36">
        <v>42.0</v>
      </c>
      <c r="C26" s="36">
        <v>42.0</v>
      </c>
      <c r="D26" s="36">
        <v>42.0</v>
      </c>
      <c r="E26" s="36">
        <v>42.0</v>
      </c>
      <c r="F26" s="36">
        <v>42.0</v>
      </c>
      <c r="G26" s="36">
        <v>42.0</v>
      </c>
      <c r="H26" s="36">
        <v>42.0</v>
      </c>
      <c r="I26" s="36">
        <v>42.0</v>
      </c>
      <c r="K26" s="494">
        <v>1000.0</v>
      </c>
      <c r="L26" s="506">
        <f>Bajadas!$C$6</f>
        <v>197064.6464</v>
      </c>
      <c r="M26" s="506">
        <f>Bajadas!$D$6</f>
        <v>197289.8714</v>
      </c>
      <c r="N26" s="29">
        <f t="shared" si="37"/>
        <v>197064.6464</v>
      </c>
      <c r="O26" s="29">
        <f t="shared" si="38"/>
        <v>197289.8714</v>
      </c>
      <c r="P26" s="506">
        <f t="shared" si="39"/>
        <v>197064.6464</v>
      </c>
      <c r="Q26" s="506">
        <f t="shared" si="40"/>
        <v>197289.8714</v>
      </c>
      <c r="R26" s="506">
        <f t="shared" si="41"/>
        <v>197064.6464</v>
      </c>
      <c r="S26" s="506">
        <f t="shared" si="42"/>
        <v>197289.8714</v>
      </c>
      <c r="U26" s="494">
        <v>1000.0</v>
      </c>
      <c r="V26" s="36"/>
      <c r="W26" s="36"/>
      <c r="X26" s="20">
        <f t="shared" ref="X26:AC26" si="69">X14</f>
        <v>98.79046073</v>
      </c>
      <c r="Y26" s="20" t="str">
        <f t="shared" si="69"/>
        <v/>
      </c>
      <c r="Z26" s="20">
        <f t="shared" si="69"/>
        <v>118.5485529</v>
      </c>
      <c r="AA26" s="20" t="str">
        <f t="shared" si="69"/>
        <v/>
      </c>
      <c r="AB26" s="20">
        <f t="shared" si="69"/>
        <v>151.2516019</v>
      </c>
      <c r="AC26" s="20">
        <f t="shared" si="69"/>
        <v>302.5032039</v>
      </c>
      <c r="AE26" s="494">
        <v>1000.0</v>
      </c>
      <c r="AF26" s="32">
        <v>1600.0</v>
      </c>
      <c r="AG26" s="32">
        <v>1600.0</v>
      </c>
      <c r="AH26" s="32">
        <v>1600.0</v>
      </c>
      <c r="AI26" s="32">
        <v>1600.0</v>
      </c>
      <c r="AJ26" s="32">
        <v>1600.0</v>
      </c>
      <c r="AK26" s="32">
        <v>1600.0</v>
      </c>
      <c r="AL26" s="32">
        <v>1600.0</v>
      </c>
      <c r="AM26" s="32">
        <v>1600.0</v>
      </c>
      <c r="AO26" s="494">
        <v>1000.0</v>
      </c>
      <c r="AP26" s="507">
        <f t="shared" ref="AP26:AR26" si="70">(B26*L26)+V26*B26+AF26</f>
        <v>8278315.147</v>
      </c>
      <c r="AQ26" s="507">
        <f t="shared" si="70"/>
        <v>8287774.597</v>
      </c>
      <c r="AR26" s="508">
        <f t="shared" si="70"/>
        <v>8282464.346</v>
      </c>
      <c r="AS26" s="508">
        <f t="shared" si="45"/>
        <v>8291923.796</v>
      </c>
      <c r="AT26" s="509">
        <f t="shared" si="46"/>
        <v>8283294.186</v>
      </c>
      <c r="AU26" s="509">
        <f t="shared" si="47"/>
        <v>8292753.636</v>
      </c>
      <c r="AV26" s="510">
        <f t="shared" ref="AV26:AW26" si="71">(H26*R26)+AB26*H26+AL26</f>
        <v>8284667.714</v>
      </c>
      <c r="AW26" s="510">
        <f t="shared" si="71"/>
        <v>8300479.731</v>
      </c>
      <c r="AZ26" s="3">
        <v>1.2</v>
      </c>
      <c r="BA26" s="494">
        <v>1000.0</v>
      </c>
      <c r="BB26" s="507">
        <f t="shared" si="49"/>
        <v>9933978.176</v>
      </c>
      <c r="BC26" s="507">
        <f t="shared" si="50"/>
        <v>9945329.516</v>
      </c>
      <c r="BD26" s="508">
        <f t="shared" si="51"/>
        <v>9938957.215</v>
      </c>
      <c r="BE26" s="508">
        <f t="shared" si="52"/>
        <v>9950308.555</v>
      </c>
      <c r="BF26" s="509">
        <f t="shared" si="53"/>
        <v>9939953.023</v>
      </c>
      <c r="BG26" s="509">
        <f t="shared" si="54"/>
        <v>9951304.363</v>
      </c>
      <c r="BH26" s="510">
        <f t="shared" si="55"/>
        <v>9941601.257</v>
      </c>
      <c r="BI26" s="510">
        <f t="shared" si="56"/>
        <v>9960575.678</v>
      </c>
      <c r="BJ26" s="108">
        <f t="shared" ref="BJ26:BK26" si="72">CEILING(BH26*1.15,1)</f>
        <v>11432842</v>
      </c>
      <c r="BK26" s="108">
        <f t="shared" si="72"/>
        <v>11454663</v>
      </c>
      <c r="BL26" s="511">
        <f t="shared" ref="BL26:BM26" si="73">BH26*1.4</f>
        <v>13918241.76</v>
      </c>
      <c r="BM26" s="511">
        <f t="shared" si="73"/>
        <v>13944805.95</v>
      </c>
      <c r="BY26" s="3" t="s">
        <v>508</v>
      </c>
    </row>
    <row r="27" ht="15.75" customHeight="1"/>
    <row r="28" ht="15.75" customHeight="1">
      <c r="AX28" s="3">
        <v>269.0</v>
      </c>
      <c r="BY28" s="3" t="s">
        <v>16</v>
      </c>
    </row>
    <row r="29" ht="15.75" customHeight="1">
      <c r="A29" s="28" t="s">
        <v>483</v>
      </c>
      <c r="BA29" s="494" t="s">
        <v>509</v>
      </c>
      <c r="BR29" s="3" t="s">
        <v>510</v>
      </c>
      <c r="BT29" s="3" t="s">
        <v>511</v>
      </c>
      <c r="BW29" s="3" t="s">
        <v>512</v>
      </c>
      <c r="BX29" s="281" t="s">
        <v>104</v>
      </c>
      <c r="BY29" s="3" t="s">
        <v>361</v>
      </c>
      <c r="BZ29" s="3" t="s">
        <v>98</v>
      </c>
      <c r="CB29" s="3" t="s">
        <v>84</v>
      </c>
    </row>
    <row r="30" ht="15.75" customHeight="1">
      <c r="A30" s="3" t="s">
        <v>485</v>
      </c>
      <c r="AO30" s="3">
        <v>350.0</v>
      </c>
      <c r="BA30" s="3" t="s">
        <v>513</v>
      </c>
      <c r="BR30" s="3">
        <v>100.0</v>
      </c>
      <c r="BW30" s="3" t="s">
        <v>514</v>
      </c>
      <c r="BX30" s="281">
        <v>100.0</v>
      </c>
      <c r="BY30" s="123">
        <f>BO10*Pack!$K$22</f>
        <v>455.74</v>
      </c>
      <c r="BZ30" s="20">
        <f t="shared" ref="BZ30:BZ34" si="74">BX30/95</f>
        <v>1.052631579</v>
      </c>
      <c r="CA30" s="3">
        <v>50.0</v>
      </c>
      <c r="CB30" s="123">
        <f t="shared" ref="CB30:CB34" si="75">CA30+BY30</f>
        <v>505.74</v>
      </c>
    </row>
    <row r="31" ht="15.75" customHeight="1">
      <c r="A31" s="116" t="s">
        <v>513</v>
      </c>
      <c r="B31" s="116"/>
      <c r="BA31" s="3" t="s">
        <v>487</v>
      </c>
      <c r="BR31" s="3">
        <v>200.0</v>
      </c>
      <c r="BX31" s="281">
        <v>200.0</v>
      </c>
      <c r="BY31" s="123">
        <f>BO11*Pack!$K$22</f>
        <v>911.48</v>
      </c>
      <c r="BZ31" s="20">
        <f t="shared" si="74"/>
        <v>2.105263158</v>
      </c>
      <c r="CA31" s="3">
        <v>50.0</v>
      </c>
      <c r="CB31" s="123">
        <f t="shared" si="75"/>
        <v>961.48</v>
      </c>
    </row>
    <row r="32" ht="15.75" customHeight="1">
      <c r="A32" s="3" t="s">
        <v>487</v>
      </c>
      <c r="D32" s="488" t="s">
        <v>489</v>
      </c>
      <c r="E32" s="489"/>
      <c r="F32" s="489"/>
      <c r="G32" s="489"/>
      <c r="H32" s="489"/>
      <c r="I32" s="489"/>
      <c r="L32" s="490" t="s">
        <v>490</v>
      </c>
      <c r="M32" s="491"/>
      <c r="N32" s="491"/>
      <c r="O32" s="491"/>
      <c r="P32" s="491"/>
      <c r="Q32" s="492"/>
      <c r="R32" s="282"/>
      <c r="S32" s="282"/>
      <c r="V32" s="490" t="s">
        <v>491</v>
      </c>
      <c r="W32" s="491"/>
      <c r="X32" s="491"/>
      <c r="Y32" s="491"/>
      <c r="Z32" s="491"/>
      <c r="AA32" s="491"/>
      <c r="AB32" s="491"/>
      <c r="AC32" s="492"/>
      <c r="AE32" s="490" t="s">
        <v>492</v>
      </c>
      <c r="AF32" s="491"/>
      <c r="AG32" s="491"/>
      <c r="AH32" s="491"/>
      <c r="AI32" s="491"/>
      <c r="AJ32" s="492"/>
      <c r="AK32" s="282"/>
      <c r="AL32" s="282"/>
      <c r="AM32" s="282"/>
      <c r="AO32" s="490" t="s">
        <v>504</v>
      </c>
      <c r="AP32" s="491"/>
      <c r="AQ32" s="491"/>
      <c r="AR32" s="491"/>
      <c r="AS32" s="491"/>
      <c r="AT32" s="491"/>
      <c r="AU32" s="491"/>
      <c r="AV32" s="491"/>
      <c r="AW32" s="492"/>
      <c r="AZ32" s="3">
        <v>1.1</v>
      </c>
      <c r="BA32" s="514" t="s">
        <v>515</v>
      </c>
      <c r="BB32" s="515"/>
      <c r="BC32" s="515"/>
      <c r="BD32" s="515"/>
      <c r="BE32" s="515"/>
      <c r="BF32" s="515"/>
      <c r="BG32" s="515"/>
      <c r="BH32" s="515"/>
      <c r="BI32" s="476"/>
      <c r="BR32" s="3">
        <v>300.0</v>
      </c>
      <c r="BX32" s="281">
        <v>300.0</v>
      </c>
      <c r="BY32" s="123">
        <f>BO12*Pack!$K$22</f>
        <v>1367.22</v>
      </c>
      <c r="BZ32" s="20">
        <f t="shared" si="74"/>
        <v>3.157894737</v>
      </c>
      <c r="CA32" s="3">
        <v>60.0</v>
      </c>
      <c r="CB32" s="123">
        <f t="shared" si="75"/>
        <v>1427.22</v>
      </c>
    </row>
    <row r="33" ht="15.75" customHeight="1">
      <c r="A33" s="494" t="s">
        <v>104</v>
      </c>
      <c r="B33" s="496" t="s">
        <v>473</v>
      </c>
      <c r="C33" s="476"/>
      <c r="D33" s="496" t="s">
        <v>71</v>
      </c>
      <c r="E33" s="476"/>
      <c r="F33" s="496" t="s">
        <v>494</v>
      </c>
      <c r="G33" s="476"/>
      <c r="H33" s="496" t="s">
        <v>495</v>
      </c>
      <c r="I33" s="497"/>
      <c r="K33" s="494" t="s">
        <v>104</v>
      </c>
      <c r="L33" s="496" t="s">
        <v>473</v>
      </c>
      <c r="M33" s="476"/>
      <c r="N33" s="496" t="s">
        <v>71</v>
      </c>
      <c r="O33" s="476"/>
      <c r="P33" s="496" t="s">
        <v>494</v>
      </c>
      <c r="Q33" s="476"/>
      <c r="R33" s="496" t="s">
        <v>495</v>
      </c>
      <c r="S33" s="497"/>
      <c r="U33" s="494" t="s">
        <v>104</v>
      </c>
      <c r="V33" s="496" t="s">
        <v>473</v>
      </c>
      <c r="W33" s="476"/>
      <c r="X33" s="496" t="s">
        <v>71</v>
      </c>
      <c r="Y33" s="476"/>
      <c r="Z33" s="496" t="s">
        <v>494</v>
      </c>
      <c r="AA33" s="476"/>
      <c r="AB33" s="496" t="s">
        <v>495</v>
      </c>
      <c r="AC33" s="497"/>
      <c r="AE33" s="494" t="s">
        <v>104</v>
      </c>
      <c r="AF33" s="496" t="s">
        <v>473</v>
      </c>
      <c r="AG33" s="476"/>
      <c r="AH33" s="496" t="s">
        <v>71</v>
      </c>
      <c r="AI33" s="476"/>
      <c r="AJ33" s="496" t="s">
        <v>494</v>
      </c>
      <c r="AK33" s="476"/>
      <c r="AL33" s="496" t="s">
        <v>495</v>
      </c>
      <c r="AM33" s="497"/>
      <c r="AO33" s="494" t="s">
        <v>104</v>
      </c>
      <c r="AP33" s="498" t="s">
        <v>473</v>
      </c>
      <c r="AQ33" s="476"/>
      <c r="AR33" s="499" t="s">
        <v>71</v>
      </c>
      <c r="AS33" s="476"/>
      <c r="AT33" s="500" t="s">
        <v>494</v>
      </c>
      <c r="AU33" s="476"/>
      <c r="AV33" s="498" t="s">
        <v>495</v>
      </c>
      <c r="AW33" s="497"/>
      <c r="AZ33" s="3">
        <v>1.1</v>
      </c>
      <c r="BA33" s="494" t="s">
        <v>104</v>
      </c>
      <c r="BB33" s="498" t="s">
        <v>473</v>
      </c>
      <c r="BC33" s="476"/>
      <c r="BD33" s="499" t="s">
        <v>71</v>
      </c>
      <c r="BE33" s="476"/>
      <c r="BF33" s="500" t="s">
        <v>494</v>
      </c>
      <c r="BG33" s="476"/>
      <c r="BH33" s="498" t="s">
        <v>495</v>
      </c>
      <c r="BI33" s="497"/>
      <c r="BJ33" s="496" t="s">
        <v>497</v>
      </c>
      <c r="BK33" s="476"/>
      <c r="BL33" s="501" t="s">
        <v>498</v>
      </c>
      <c r="BM33" s="476"/>
      <c r="BR33" s="3">
        <v>500.0</v>
      </c>
      <c r="BX33" s="281">
        <v>500.0</v>
      </c>
      <c r="BY33" s="123">
        <f>BO13*Pack!$K$23</f>
        <v>2191.2</v>
      </c>
      <c r="BZ33" s="20">
        <f t="shared" si="74"/>
        <v>5.263157895</v>
      </c>
      <c r="CA33" s="3">
        <v>60.0</v>
      </c>
      <c r="CB33" s="123">
        <f t="shared" si="75"/>
        <v>2251.2</v>
      </c>
    </row>
    <row r="34" ht="15.75" customHeight="1">
      <c r="A34" s="494" t="s">
        <v>496</v>
      </c>
      <c r="B34" s="494" t="s">
        <v>10</v>
      </c>
      <c r="C34" s="502" t="s">
        <v>11</v>
      </c>
      <c r="D34" s="502" t="s">
        <v>10</v>
      </c>
      <c r="E34" s="502" t="s">
        <v>11</v>
      </c>
      <c r="F34" s="494" t="s">
        <v>10</v>
      </c>
      <c r="G34" s="502" t="s">
        <v>11</v>
      </c>
      <c r="H34" s="502" t="s">
        <v>10</v>
      </c>
      <c r="I34" s="502" t="s">
        <v>11</v>
      </c>
      <c r="K34" s="494" t="s">
        <v>496</v>
      </c>
      <c r="L34" s="494" t="s">
        <v>10</v>
      </c>
      <c r="M34" s="502" t="s">
        <v>11</v>
      </c>
      <c r="N34" s="502" t="s">
        <v>10</v>
      </c>
      <c r="O34" s="502" t="s">
        <v>11</v>
      </c>
      <c r="P34" s="494" t="s">
        <v>10</v>
      </c>
      <c r="Q34" s="502" t="s">
        <v>11</v>
      </c>
      <c r="R34" s="502" t="s">
        <v>10</v>
      </c>
      <c r="S34" s="502" t="s">
        <v>11</v>
      </c>
      <c r="U34" s="494" t="s">
        <v>496</v>
      </c>
      <c r="V34" s="494" t="s">
        <v>10</v>
      </c>
      <c r="W34" s="502" t="s">
        <v>11</v>
      </c>
      <c r="X34" s="502" t="s">
        <v>10</v>
      </c>
      <c r="Y34" s="502" t="s">
        <v>11</v>
      </c>
      <c r="Z34" s="494" t="s">
        <v>10</v>
      </c>
      <c r="AA34" s="502" t="s">
        <v>11</v>
      </c>
      <c r="AB34" s="494" t="s">
        <v>10</v>
      </c>
      <c r="AC34" s="502" t="s">
        <v>11</v>
      </c>
      <c r="AE34" s="494" t="s">
        <v>496</v>
      </c>
      <c r="AF34" s="494" t="s">
        <v>10</v>
      </c>
      <c r="AG34" s="502" t="s">
        <v>11</v>
      </c>
      <c r="AH34" s="502" t="s">
        <v>10</v>
      </c>
      <c r="AI34" s="502" t="s">
        <v>11</v>
      </c>
      <c r="AJ34" s="494" t="s">
        <v>10</v>
      </c>
      <c r="AK34" s="502" t="s">
        <v>11</v>
      </c>
      <c r="AL34" s="502" t="s">
        <v>10</v>
      </c>
      <c r="AM34" s="502" t="s">
        <v>11</v>
      </c>
      <c r="AO34" s="494" t="s">
        <v>496</v>
      </c>
      <c r="AP34" s="503" t="s">
        <v>10</v>
      </c>
      <c r="AQ34" s="504" t="s">
        <v>11</v>
      </c>
      <c r="AR34" s="504" t="s">
        <v>10</v>
      </c>
      <c r="AS34" s="504" t="s">
        <v>11</v>
      </c>
      <c r="AT34" s="503" t="s">
        <v>10</v>
      </c>
      <c r="AU34" s="504" t="s">
        <v>11</v>
      </c>
      <c r="AV34" s="504" t="s">
        <v>10</v>
      </c>
      <c r="AW34" s="504" t="s">
        <v>11</v>
      </c>
      <c r="AZ34" s="3">
        <v>1.1</v>
      </c>
      <c r="BA34" s="494" t="s">
        <v>496</v>
      </c>
      <c r="BB34" s="503" t="s">
        <v>10</v>
      </c>
      <c r="BC34" s="504" t="s">
        <v>11</v>
      </c>
      <c r="BD34" s="504" t="s">
        <v>10</v>
      </c>
      <c r="BE34" s="504" t="s">
        <v>11</v>
      </c>
      <c r="BF34" s="503" t="s">
        <v>10</v>
      </c>
      <c r="BG34" s="504" t="s">
        <v>11</v>
      </c>
      <c r="BH34" s="504" t="s">
        <v>10</v>
      </c>
      <c r="BI34" s="504" t="s">
        <v>11</v>
      </c>
      <c r="BJ34" s="502" t="s">
        <v>10</v>
      </c>
      <c r="BK34" s="502" t="s">
        <v>11</v>
      </c>
      <c r="BL34" s="502" t="s">
        <v>10</v>
      </c>
      <c r="BM34" s="502" t="s">
        <v>11</v>
      </c>
      <c r="BR34" s="3">
        <v>1000.0</v>
      </c>
      <c r="BX34" s="281">
        <v>1000.0</v>
      </c>
      <c r="BY34" s="123">
        <f>BO14*Pack!$K$24</f>
        <v>4207.4</v>
      </c>
      <c r="BZ34" s="20">
        <f t="shared" si="74"/>
        <v>10.52631579</v>
      </c>
      <c r="CA34" s="3">
        <v>70.0</v>
      </c>
      <c r="CB34" s="123">
        <f t="shared" si="75"/>
        <v>4277.4</v>
      </c>
    </row>
    <row r="35" ht="15.75" customHeight="1">
      <c r="A35" s="494">
        <v>100.0</v>
      </c>
      <c r="B35" s="36">
        <v>5.0</v>
      </c>
      <c r="C35" s="36">
        <v>5.0</v>
      </c>
      <c r="D35" s="36">
        <v>5.0</v>
      </c>
      <c r="E35" s="36">
        <v>5.0</v>
      </c>
      <c r="F35" s="36">
        <v>5.0</v>
      </c>
      <c r="G35" s="36">
        <v>5.0</v>
      </c>
      <c r="H35" s="36">
        <v>5.0</v>
      </c>
      <c r="I35" s="36">
        <v>5.0</v>
      </c>
      <c r="K35" s="494">
        <v>100.0</v>
      </c>
      <c r="L35" s="506">
        <f>Bajadas!$E$5</f>
        <v>202610.4519</v>
      </c>
      <c r="M35" s="506">
        <f>Bajadas!$F$5</f>
        <v>202842.5019</v>
      </c>
      <c r="N35" s="29">
        <f t="shared" ref="N35:S35" si="76">L35</f>
        <v>202610.4519</v>
      </c>
      <c r="O35" s="29">
        <f t="shared" si="76"/>
        <v>202842.5019</v>
      </c>
      <c r="P35" s="29">
        <f t="shared" si="76"/>
        <v>202610.4519</v>
      </c>
      <c r="Q35" s="29">
        <f t="shared" si="76"/>
        <v>202842.5019</v>
      </c>
      <c r="R35" s="29">
        <f t="shared" si="76"/>
        <v>202610.4519</v>
      </c>
      <c r="S35" s="29">
        <f t="shared" si="76"/>
        <v>202842.5019</v>
      </c>
      <c r="U35" s="494">
        <v>100.0</v>
      </c>
      <c r="V35" s="36"/>
      <c r="W35" s="36"/>
      <c r="X35" s="20">
        <f t="shared" ref="X35:AC35" si="77">X22</f>
        <v>136.2627045</v>
      </c>
      <c r="Y35" s="20" t="str">
        <f t="shared" si="77"/>
        <v/>
      </c>
      <c r="Z35" s="20">
        <f t="shared" si="77"/>
        <v>163.5152453</v>
      </c>
      <c r="AA35" s="20" t="str">
        <f t="shared" si="77"/>
        <v/>
      </c>
      <c r="AB35" s="20">
        <f t="shared" si="77"/>
        <v>163.5152453</v>
      </c>
      <c r="AC35" s="20">
        <f t="shared" si="77"/>
        <v>327.0304907</v>
      </c>
      <c r="AE35" s="494">
        <v>100.0</v>
      </c>
      <c r="AF35" s="32">
        <v>400.0</v>
      </c>
      <c r="AG35" s="32">
        <v>400.0</v>
      </c>
      <c r="AH35" s="32">
        <v>400.0</v>
      </c>
      <c r="AI35" s="32">
        <v>400.0</v>
      </c>
      <c r="AJ35" s="32">
        <v>400.0</v>
      </c>
      <c r="AK35" s="32">
        <v>400.0</v>
      </c>
      <c r="AL35" s="32">
        <v>400.0</v>
      </c>
      <c r="AM35" s="32">
        <v>400.0</v>
      </c>
      <c r="AO35" s="494">
        <v>100.0</v>
      </c>
      <c r="AP35" s="507">
        <f t="shared" ref="AP35:AR35" si="78">(B35*L35)+V35*B35+AF35</f>
        <v>1013452.259</v>
      </c>
      <c r="AQ35" s="507">
        <f t="shared" si="78"/>
        <v>1014612.509</v>
      </c>
      <c r="AR35" s="508">
        <f t="shared" si="78"/>
        <v>1014133.573</v>
      </c>
      <c r="AS35" s="508">
        <f t="shared" ref="AS35:AS39" si="85">(E35*O35)+X35*E35+AI35</f>
        <v>1015293.823</v>
      </c>
      <c r="AT35" s="509">
        <f t="shared" ref="AT35:AT39" si="86">(F35*P35)+Z35*F35+AJ35</f>
        <v>1014269.836</v>
      </c>
      <c r="AU35" s="509">
        <f t="shared" ref="AU35:AU39" si="87">(E35*Q35)+Z35*E35+AK35</f>
        <v>1015430.086</v>
      </c>
      <c r="AV35" s="510">
        <f t="shared" ref="AV35:AW35" si="79">(H35*R35)+AB35*H35+AL35</f>
        <v>1014269.836</v>
      </c>
      <c r="AW35" s="510">
        <f t="shared" si="79"/>
        <v>1016247.662</v>
      </c>
      <c r="AZ35" s="3">
        <v>1.1</v>
      </c>
      <c r="BA35" s="494">
        <v>100.0</v>
      </c>
      <c r="BB35" s="507">
        <f t="shared" ref="BB35:BB39" si="89">AP35*AZ21</f>
        <v>1216142.711</v>
      </c>
      <c r="BC35" s="507">
        <f t="shared" ref="BC35:BC39" si="90">AQ35*AZ21</f>
        <v>1217535.011</v>
      </c>
      <c r="BD35" s="508">
        <f t="shared" ref="BD35:BD39" si="91">AR35*AZ22</f>
        <v>1216960.287</v>
      </c>
      <c r="BE35" s="508">
        <f t="shared" ref="BE35:BE39" si="92">AS35*AZ21</f>
        <v>1218352.587</v>
      </c>
      <c r="BF35" s="509">
        <f>AT35*AZ22</f>
        <v>1217123.803</v>
      </c>
      <c r="BG35" s="509">
        <f>AU35*AZ22</f>
        <v>1218516.103</v>
      </c>
      <c r="BH35" s="510">
        <f t="shared" ref="BH35:BH39" si="93">AV35*AZ22</f>
        <v>1217123.803</v>
      </c>
      <c r="BI35" s="510">
        <f t="shared" ref="BI35:BI39" si="94">AW35*AZ22</f>
        <v>1219497.194</v>
      </c>
      <c r="BJ35" s="108">
        <f t="shared" ref="BJ35:BK35" si="80">CEILING(BH35*1.15,1)</f>
        <v>1399693</v>
      </c>
      <c r="BK35" s="108">
        <f t="shared" si="80"/>
        <v>1402422</v>
      </c>
      <c r="BL35" s="511">
        <f t="shared" ref="BL35:BM35" si="81">BH35*1.4</f>
        <v>1703973.324</v>
      </c>
      <c r="BM35" s="511">
        <f t="shared" si="81"/>
        <v>1707296.072</v>
      </c>
    </row>
    <row r="36" ht="15.75" customHeight="1">
      <c r="A36" s="494">
        <v>200.0</v>
      </c>
      <c r="B36" s="36">
        <v>9.0</v>
      </c>
      <c r="C36" s="36">
        <v>9.0</v>
      </c>
      <c r="D36" s="36">
        <v>9.0</v>
      </c>
      <c r="E36" s="36">
        <v>9.0</v>
      </c>
      <c r="F36" s="36">
        <v>9.0</v>
      </c>
      <c r="G36" s="36">
        <v>9.0</v>
      </c>
      <c r="H36" s="36">
        <v>9.0</v>
      </c>
      <c r="I36" s="36">
        <v>9.0</v>
      </c>
      <c r="K36" s="494">
        <v>200.0</v>
      </c>
      <c r="L36" s="506">
        <f>Bajadas!$E$5</f>
        <v>202610.4519</v>
      </c>
      <c r="M36" s="506">
        <f>Bajadas!$F$5</f>
        <v>202842.5019</v>
      </c>
      <c r="N36" s="29">
        <f t="shared" ref="N36:S36" si="82">L36</f>
        <v>202610.4519</v>
      </c>
      <c r="O36" s="29">
        <f t="shared" si="82"/>
        <v>202842.5019</v>
      </c>
      <c r="P36" s="29">
        <f t="shared" si="82"/>
        <v>202610.4519</v>
      </c>
      <c r="Q36" s="29">
        <f t="shared" si="82"/>
        <v>202842.5019</v>
      </c>
      <c r="R36" s="29">
        <f t="shared" si="82"/>
        <v>202610.4519</v>
      </c>
      <c r="S36" s="29">
        <f t="shared" si="82"/>
        <v>202842.5019</v>
      </c>
      <c r="U36" s="494">
        <v>200.0</v>
      </c>
      <c r="V36" s="36"/>
      <c r="W36" s="36"/>
      <c r="X36" s="20">
        <f t="shared" ref="X36:AC36" si="83">X23</f>
        <v>136.2627045</v>
      </c>
      <c r="Y36" s="20" t="str">
        <f t="shared" si="83"/>
        <v/>
      </c>
      <c r="Z36" s="20">
        <f t="shared" si="83"/>
        <v>151.2516019</v>
      </c>
      <c r="AA36" s="20" t="str">
        <f t="shared" si="83"/>
        <v/>
      </c>
      <c r="AB36" s="20">
        <f t="shared" si="83"/>
        <v>163.5152453</v>
      </c>
      <c r="AC36" s="20">
        <f t="shared" si="83"/>
        <v>327.0304907</v>
      </c>
      <c r="AE36" s="494">
        <v>200.0</v>
      </c>
      <c r="AF36" s="32">
        <v>500.0</v>
      </c>
      <c r="AG36" s="32">
        <v>500.0</v>
      </c>
      <c r="AH36" s="32">
        <v>500.0</v>
      </c>
      <c r="AI36" s="32">
        <v>500.0</v>
      </c>
      <c r="AJ36" s="32">
        <v>500.0</v>
      </c>
      <c r="AK36" s="32">
        <v>500.0</v>
      </c>
      <c r="AL36" s="32">
        <v>500.0</v>
      </c>
      <c r="AM36" s="32">
        <v>500.0</v>
      </c>
      <c r="AO36" s="494">
        <v>200.0</v>
      </c>
      <c r="AP36" s="507">
        <f t="shared" ref="AP36:AR36" si="84">(B36*L36)+V36*B36+AF36</f>
        <v>1823994.067</v>
      </c>
      <c r="AQ36" s="507">
        <f t="shared" si="84"/>
        <v>1826082.517</v>
      </c>
      <c r="AR36" s="508">
        <f t="shared" si="84"/>
        <v>1825220.431</v>
      </c>
      <c r="AS36" s="508">
        <f t="shared" si="85"/>
        <v>1827308.881</v>
      </c>
      <c r="AT36" s="509">
        <f t="shared" si="86"/>
        <v>1825355.331</v>
      </c>
      <c r="AU36" s="509">
        <f t="shared" si="87"/>
        <v>1827443.781</v>
      </c>
      <c r="AV36" s="510">
        <f t="shared" ref="AV36:AW36" si="88">(H36*R36)+AB36*H36+AL36</f>
        <v>1825465.704</v>
      </c>
      <c r="AW36" s="510">
        <f t="shared" si="88"/>
        <v>1829025.791</v>
      </c>
      <c r="AZ36" s="3">
        <v>1.1</v>
      </c>
      <c r="BA36" s="494">
        <v>200.0</v>
      </c>
      <c r="BB36" s="507">
        <f t="shared" si="89"/>
        <v>2188792.88</v>
      </c>
      <c r="BC36" s="507">
        <f t="shared" si="90"/>
        <v>2191299.02</v>
      </c>
      <c r="BD36" s="508">
        <f t="shared" si="91"/>
        <v>2190264.517</v>
      </c>
      <c r="BE36" s="508">
        <f t="shared" si="92"/>
        <v>2192770.657</v>
      </c>
      <c r="BF36" s="509">
        <f t="shared" ref="BF36:BF39" si="101">(R36*AB36)+AL36*R36+AV36</f>
        <v>136260589.4</v>
      </c>
      <c r="BG36" s="509">
        <f t="shared" ref="BG36:BG39" si="102">(Q36*AC36)+AL36*Q36+AW36</f>
        <v>169585959.6</v>
      </c>
      <c r="BH36" s="510">
        <f t="shared" si="93"/>
        <v>2190558.845</v>
      </c>
      <c r="BI36" s="510">
        <f t="shared" si="94"/>
        <v>2194830.95</v>
      </c>
      <c r="BJ36" s="108">
        <f t="shared" ref="BJ36:BK36" si="95">CEILING(BH36*1.15,1)</f>
        <v>2519143</v>
      </c>
      <c r="BK36" s="108">
        <f t="shared" si="95"/>
        <v>2524056</v>
      </c>
      <c r="BL36" s="511">
        <f t="shared" ref="BL36:BM36" si="96">BH36*1.4</f>
        <v>3066782.383</v>
      </c>
      <c r="BM36" s="511">
        <f t="shared" si="96"/>
        <v>3072763.329</v>
      </c>
    </row>
    <row r="37" ht="15.75" customHeight="1">
      <c r="A37" s="494">
        <v>300.0</v>
      </c>
      <c r="B37" s="36">
        <v>13.0</v>
      </c>
      <c r="C37" s="36">
        <v>13.0</v>
      </c>
      <c r="D37" s="36">
        <v>13.0</v>
      </c>
      <c r="E37" s="36">
        <v>13.0</v>
      </c>
      <c r="F37" s="36">
        <v>13.0</v>
      </c>
      <c r="G37" s="36">
        <v>13.0</v>
      </c>
      <c r="H37" s="36">
        <v>13.0</v>
      </c>
      <c r="I37" s="36">
        <v>13.0</v>
      </c>
      <c r="K37" s="494">
        <v>300.0</v>
      </c>
      <c r="L37" s="506">
        <f>Bajadas!$E$5</f>
        <v>202610.4519</v>
      </c>
      <c r="M37" s="506">
        <f>Bajadas!$F$5</f>
        <v>202842.5019</v>
      </c>
      <c r="N37" s="29">
        <f t="shared" ref="N37:S37" si="97">L37</f>
        <v>202610.4519</v>
      </c>
      <c r="O37" s="29">
        <f t="shared" si="97"/>
        <v>202842.5019</v>
      </c>
      <c r="P37" s="29">
        <f t="shared" si="97"/>
        <v>202610.4519</v>
      </c>
      <c r="Q37" s="29">
        <f t="shared" si="97"/>
        <v>202842.5019</v>
      </c>
      <c r="R37" s="29">
        <f t="shared" si="97"/>
        <v>202610.4519</v>
      </c>
      <c r="S37" s="29">
        <f t="shared" si="97"/>
        <v>202842.5019</v>
      </c>
      <c r="U37" s="494">
        <v>300.0</v>
      </c>
      <c r="V37" s="36"/>
      <c r="W37" s="36"/>
      <c r="X37" s="20">
        <f t="shared" ref="X37:AC37" si="98">X24</f>
        <v>115.8232988</v>
      </c>
      <c r="Y37" s="20" t="str">
        <f t="shared" si="98"/>
        <v/>
      </c>
      <c r="Z37" s="20">
        <f t="shared" si="98"/>
        <v>138.9879585</v>
      </c>
      <c r="AA37" s="20" t="str">
        <f t="shared" si="98"/>
        <v/>
      </c>
      <c r="AB37" s="20">
        <f t="shared" si="98"/>
        <v>151.2516019</v>
      </c>
      <c r="AC37" s="20">
        <f t="shared" si="98"/>
        <v>302.5032039</v>
      </c>
      <c r="AE37" s="494">
        <v>300.0</v>
      </c>
      <c r="AF37" s="32">
        <v>700.0</v>
      </c>
      <c r="AG37" s="32">
        <v>700.0</v>
      </c>
      <c r="AH37" s="32">
        <v>700.0</v>
      </c>
      <c r="AI37" s="32">
        <v>700.0</v>
      </c>
      <c r="AJ37" s="32">
        <v>700.0</v>
      </c>
      <c r="AK37" s="32">
        <v>700.0</v>
      </c>
      <c r="AL37" s="32">
        <v>700.0</v>
      </c>
      <c r="AM37" s="32">
        <v>700.0</v>
      </c>
      <c r="AO37" s="494">
        <v>300.0</v>
      </c>
      <c r="AP37" s="507">
        <f t="shared" ref="AP37:AR37" si="99">(B37*L37)+V37*B37+AF37</f>
        <v>2634635.874</v>
      </c>
      <c r="AQ37" s="507">
        <f t="shared" si="99"/>
        <v>2637652.524</v>
      </c>
      <c r="AR37" s="508">
        <f t="shared" si="99"/>
        <v>2636141.577</v>
      </c>
      <c r="AS37" s="508">
        <f t="shared" si="85"/>
        <v>2639158.227</v>
      </c>
      <c r="AT37" s="509">
        <f t="shared" si="86"/>
        <v>2636442.718</v>
      </c>
      <c r="AU37" s="509">
        <f t="shared" si="87"/>
        <v>2639459.368</v>
      </c>
      <c r="AV37" s="510">
        <f t="shared" ref="AV37:AW37" si="100">(H37*R37)+AB37*H37+AL37</f>
        <v>2636602.145</v>
      </c>
      <c r="AW37" s="510">
        <f t="shared" si="100"/>
        <v>2641585.066</v>
      </c>
      <c r="AZ37" s="3">
        <v>1.1</v>
      </c>
      <c r="BA37" s="494">
        <v>300.0</v>
      </c>
      <c r="BB37" s="507">
        <f t="shared" si="89"/>
        <v>3161563.049</v>
      </c>
      <c r="BC37" s="507">
        <f t="shared" si="90"/>
        <v>3165183.029</v>
      </c>
      <c r="BD37" s="508">
        <f t="shared" si="91"/>
        <v>3163369.893</v>
      </c>
      <c r="BE37" s="508">
        <f t="shared" si="92"/>
        <v>3166989.873</v>
      </c>
      <c r="BF37" s="509">
        <f t="shared" si="101"/>
        <v>175109073.9</v>
      </c>
      <c r="BG37" s="509">
        <f t="shared" si="102"/>
        <v>205991843.1</v>
      </c>
      <c r="BH37" s="510">
        <f t="shared" si="93"/>
        <v>3163922.574</v>
      </c>
      <c r="BI37" s="510">
        <f t="shared" si="94"/>
        <v>3169902.079</v>
      </c>
      <c r="BJ37" s="108">
        <f t="shared" ref="BJ37:BK37" si="103">CEILING(BH37*1.15,1)</f>
        <v>3638511</v>
      </c>
      <c r="BK37" s="108">
        <f t="shared" si="103"/>
        <v>3645388</v>
      </c>
      <c r="BL37" s="511">
        <f t="shared" ref="BL37:BM37" si="104">BH37*1.4</f>
        <v>4429491.604</v>
      </c>
      <c r="BM37" s="511">
        <f t="shared" si="104"/>
        <v>4437862.911</v>
      </c>
    </row>
    <row r="38" ht="15.75" customHeight="1">
      <c r="A38" s="494">
        <v>500.0</v>
      </c>
      <c r="B38" s="36">
        <v>21.0</v>
      </c>
      <c r="C38" s="36">
        <v>21.0</v>
      </c>
      <c r="D38" s="36">
        <v>21.0</v>
      </c>
      <c r="E38" s="36">
        <v>21.0</v>
      </c>
      <c r="F38" s="36">
        <v>21.0</v>
      </c>
      <c r="G38" s="36">
        <v>21.0</v>
      </c>
      <c r="H38" s="36">
        <v>21.0</v>
      </c>
      <c r="I38" s="36">
        <v>21.0</v>
      </c>
      <c r="K38" s="494">
        <v>500.0</v>
      </c>
      <c r="L38" s="506">
        <f>Bajadas!$E$5</f>
        <v>202610.4519</v>
      </c>
      <c r="M38" s="506">
        <f>Bajadas!$F$5</f>
        <v>202842.5019</v>
      </c>
      <c r="N38" s="29">
        <f t="shared" ref="N38:S38" si="105">L38</f>
        <v>202610.4519</v>
      </c>
      <c r="O38" s="29">
        <f t="shared" si="105"/>
        <v>202842.5019</v>
      </c>
      <c r="P38" s="29">
        <f t="shared" si="105"/>
        <v>202610.4519</v>
      </c>
      <c r="Q38" s="29">
        <f t="shared" si="105"/>
        <v>202842.5019</v>
      </c>
      <c r="R38" s="29">
        <f t="shared" si="105"/>
        <v>202610.4519</v>
      </c>
      <c r="S38" s="29">
        <f t="shared" si="105"/>
        <v>202842.5019</v>
      </c>
      <c r="U38" s="494">
        <v>500.0</v>
      </c>
      <c r="V38" s="36"/>
      <c r="W38" s="36"/>
      <c r="X38" s="20">
        <f t="shared" ref="X38:AC38" si="106">X25</f>
        <v>105.603596</v>
      </c>
      <c r="Y38" s="20" t="str">
        <f t="shared" si="106"/>
        <v/>
      </c>
      <c r="Z38" s="20">
        <f t="shared" si="106"/>
        <v>126.7243151</v>
      </c>
      <c r="AA38" s="20" t="str">
        <f t="shared" si="106"/>
        <v/>
      </c>
      <c r="AB38" s="20">
        <f t="shared" si="106"/>
        <v>151.2516019</v>
      </c>
      <c r="AC38" s="20">
        <f t="shared" si="106"/>
        <v>302.5032039</v>
      </c>
      <c r="AE38" s="494">
        <v>500.0</v>
      </c>
      <c r="AF38" s="32">
        <v>1000.0</v>
      </c>
      <c r="AG38" s="32">
        <v>1000.0</v>
      </c>
      <c r="AH38" s="32">
        <v>1000.0</v>
      </c>
      <c r="AI38" s="32">
        <v>1000.0</v>
      </c>
      <c r="AJ38" s="32">
        <v>1000.0</v>
      </c>
      <c r="AK38" s="32">
        <v>1000.0</v>
      </c>
      <c r="AL38" s="32">
        <v>1000.0</v>
      </c>
      <c r="AM38" s="32">
        <v>1000.0</v>
      </c>
      <c r="AO38" s="494">
        <v>500.0</v>
      </c>
      <c r="AP38" s="507">
        <f t="shared" ref="AP38:AR38" si="107">(B38*L38)+V38*B38+AF38</f>
        <v>4255819.489</v>
      </c>
      <c r="AQ38" s="507">
        <f t="shared" si="107"/>
        <v>4260692.539</v>
      </c>
      <c r="AR38" s="508">
        <f t="shared" si="107"/>
        <v>4258037.165</v>
      </c>
      <c r="AS38" s="508">
        <f t="shared" si="85"/>
        <v>4262910.215</v>
      </c>
      <c r="AT38" s="509">
        <f t="shared" si="86"/>
        <v>4258480.7</v>
      </c>
      <c r="AU38" s="509">
        <f t="shared" si="87"/>
        <v>4263353.75</v>
      </c>
      <c r="AV38" s="510">
        <f t="shared" ref="AV38:AW38" si="108">(H38*R38)+AB38*H38+AL38</f>
        <v>4258995.773</v>
      </c>
      <c r="AW38" s="510">
        <f t="shared" si="108"/>
        <v>4267045.107</v>
      </c>
      <c r="AZ38" s="3">
        <v>1.1</v>
      </c>
      <c r="BA38" s="494">
        <v>500.0</v>
      </c>
      <c r="BB38" s="507">
        <f t="shared" si="89"/>
        <v>5106983.387</v>
      </c>
      <c r="BC38" s="507">
        <f t="shared" si="90"/>
        <v>5112831.047</v>
      </c>
      <c r="BD38" s="508">
        <f t="shared" si="91"/>
        <v>5109644.598</v>
      </c>
      <c r="BE38" s="508">
        <f t="shared" si="92"/>
        <v>5115492.258</v>
      </c>
      <c r="BF38" s="509">
        <f t="shared" si="101"/>
        <v>237514603.1</v>
      </c>
      <c r="BG38" s="509">
        <f t="shared" si="102"/>
        <v>268470053.7</v>
      </c>
      <c r="BH38" s="510">
        <f t="shared" si="93"/>
        <v>5110794.928</v>
      </c>
      <c r="BI38" s="510">
        <f t="shared" si="94"/>
        <v>5120454.128</v>
      </c>
      <c r="BJ38" s="108">
        <f t="shared" ref="BJ38:BK38" si="109">CEILING(BH38*1.15,1)</f>
        <v>5877415</v>
      </c>
      <c r="BK38" s="108">
        <f t="shared" si="109"/>
        <v>5888523</v>
      </c>
      <c r="BL38" s="511">
        <f t="shared" ref="BL38:BM38" si="110">BH38*1.4</f>
        <v>7155112.899</v>
      </c>
      <c r="BM38" s="511">
        <f t="shared" si="110"/>
        <v>7168635.779</v>
      </c>
    </row>
    <row r="39" ht="15.75" customHeight="1">
      <c r="A39" s="494">
        <v>1000.0</v>
      </c>
      <c r="B39" s="36">
        <v>42.0</v>
      </c>
      <c r="C39" s="36">
        <v>42.0</v>
      </c>
      <c r="D39" s="36">
        <v>42.0</v>
      </c>
      <c r="E39" s="36">
        <v>42.0</v>
      </c>
      <c r="F39" s="36">
        <v>42.0</v>
      </c>
      <c r="G39" s="36">
        <v>42.0</v>
      </c>
      <c r="H39" s="36">
        <v>42.0</v>
      </c>
      <c r="I39" s="36">
        <v>42.0</v>
      </c>
      <c r="K39" s="494">
        <v>1000.0</v>
      </c>
      <c r="L39" s="506">
        <f>Bajadas!$E$6</f>
        <v>196651.3209</v>
      </c>
      <c r="M39" s="506">
        <f>Bajadas!$F$6</f>
        <v>196876.5459</v>
      </c>
      <c r="N39" s="29">
        <f t="shared" ref="N39:S39" si="111">L39</f>
        <v>196651.3209</v>
      </c>
      <c r="O39" s="29">
        <f t="shared" si="111"/>
        <v>196876.5459</v>
      </c>
      <c r="P39" s="29">
        <f t="shared" si="111"/>
        <v>196651.3209</v>
      </c>
      <c r="Q39" s="29">
        <f t="shared" si="111"/>
        <v>196876.5459</v>
      </c>
      <c r="R39" s="29">
        <f t="shared" si="111"/>
        <v>196651.3209</v>
      </c>
      <c r="S39" s="29">
        <f t="shared" si="111"/>
        <v>196876.5459</v>
      </c>
      <c r="U39" s="494">
        <v>1000.0</v>
      </c>
      <c r="V39" s="36"/>
      <c r="W39" s="36"/>
      <c r="X39" s="20">
        <f t="shared" ref="X39:AC39" si="112">X26</f>
        <v>98.79046073</v>
      </c>
      <c r="Y39" s="20" t="str">
        <f t="shared" si="112"/>
        <v/>
      </c>
      <c r="Z39" s="20">
        <f t="shared" si="112"/>
        <v>118.5485529</v>
      </c>
      <c r="AA39" s="20" t="str">
        <f t="shared" si="112"/>
        <v/>
      </c>
      <c r="AB39" s="20">
        <f t="shared" si="112"/>
        <v>151.2516019</v>
      </c>
      <c r="AC39" s="20">
        <f t="shared" si="112"/>
        <v>302.5032039</v>
      </c>
      <c r="AE39" s="494">
        <v>1000.0</v>
      </c>
      <c r="AF39" s="32">
        <v>1600.0</v>
      </c>
      <c r="AG39" s="32">
        <v>1600.0</v>
      </c>
      <c r="AH39" s="32">
        <v>1600.0</v>
      </c>
      <c r="AI39" s="32">
        <v>1600.0</v>
      </c>
      <c r="AJ39" s="32">
        <v>1600.0</v>
      </c>
      <c r="AK39" s="32">
        <v>1600.0</v>
      </c>
      <c r="AL39" s="32">
        <v>1600.0</v>
      </c>
      <c r="AM39" s="32">
        <v>1600.0</v>
      </c>
      <c r="AO39" s="494">
        <v>1000.0</v>
      </c>
      <c r="AP39" s="507">
        <f t="shared" ref="AP39:AR39" si="113">(B39*L39)+V39*B39+AF39</f>
        <v>8260955.479</v>
      </c>
      <c r="AQ39" s="507">
        <f t="shared" si="113"/>
        <v>8270414.929</v>
      </c>
      <c r="AR39" s="508">
        <f t="shared" si="113"/>
        <v>8265104.679</v>
      </c>
      <c r="AS39" s="508">
        <f t="shared" si="85"/>
        <v>8274564.129</v>
      </c>
      <c r="AT39" s="509">
        <f t="shared" si="86"/>
        <v>8265934.519</v>
      </c>
      <c r="AU39" s="509">
        <f t="shared" si="87"/>
        <v>8275393.969</v>
      </c>
      <c r="AV39" s="510">
        <f t="shared" ref="AV39:AW39" si="114">(H39*R39)+AB39*H39+AL39</f>
        <v>8267308.047</v>
      </c>
      <c r="AW39" s="510">
        <f t="shared" si="114"/>
        <v>8283120.064</v>
      </c>
      <c r="AZ39" s="3">
        <v>1.1</v>
      </c>
      <c r="BA39" s="494">
        <v>1000.0</v>
      </c>
      <c r="BB39" s="507">
        <f t="shared" si="89"/>
        <v>9913146.575</v>
      </c>
      <c r="BC39" s="507">
        <f t="shared" si="90"/>
        <v>9924497.915</v>
      </c>
      <c r="BD39" s="508">
        <f t="shared" si="91"/>
        <v>9918125.614</v>
      </c>
      <c r="BE39" s="508">
        <f t="shared" si="92"/>
        <v>9929476.954</v>
      </c>
      <c r="BF39" s="509">
        <f t="shared" si="101"/>
        <v>352653248.9</v>
      </c>
      <c r="BG39" s="509">
        <f t="shared" si="102"/>
        <v>382841379.5</v>
      </c>
      <c r="BH39" s="510">
        <f t="shared" si="93"/>
        <v>9920769.656</v>
      </c>
      <c r="BI39" s="510">
        <f t="shared" si="94"/>
        <v>9939744.077</v>
      </c>
      <c r="BJ39" s="108">
        <f t="shared" ref="BJ39:BK39" si="115">CEILING(BH39*1.15,1)</f>
        <v>11408886</v>
      </c>
      <c r="BK39" s="108">
        <f t="shared" si="115"/>
        <v>11430706</v>
      </c>
      <c r="BL39" s="511">
        <f t="shared" ref="BL39:BM39" si="116">BH39*1.4</f>
        <v>13889077.52</v>
      </c>
      <c r="BM39" s="511">
        <f t="shared" si="116"/>
        <v>13915641.71</v>
      </c>
    </row>
    <row r="40" ht="15.75" customHeight="1">
      <c r="AZ40" s="3">
        <v>1.1</v>
      </c>
    </row>
    <row r="41" ht="15.75" customHeight="1">
      <c r="A41" s="28" t="s">
        <v>516</v>
      </c>
      <c r="I41" s="496"/>
      <c r="J41" s="476"/>
      <c r="AZ41" s="3">
        <v>1.1</v>
      </c>
      <c r="BA41" s="494" t="s">
        <v>517</v>
      </c>
    </row>
    <row r="42" ht="15.75" customHeight="1">
      <c r="A42" s="3" t="s">
        <v>485</v>
      </c>
      <c r="I42" s="502"/>
      <c r="J42" s="502"/>
      <c r="AZ42" s="3">
        <v>1.1</v>
      </c>
      <c r="BA42" s="3" t="s">
        <v>486</v>
      </c>
    </row>
    <row r="43" ht="15.75" customHeight="1">
      <c r="A43" s="116" t="s">
        <v>486</v>
      </c>
      <c r="B43" s="116"/>
      <c r="AZ43" s="3">
        <v>1.1</v>
      </c>
      <c r="BA43" s="3" t="s">
        <v>518</v>
      </c>
    </row>
    <row r="44" ht="15.75" customHeight="1">
      <c r="A44" s="3" t="s">
        <v>518</v>
      </c>
      <c r="D44" s="488" t="s">
        <v>519</v>
      </c>
      <c r="E44" s="489"/>
      <c r="F44" s="489"/>
      <c r="G44" s="489"/>
      <c r="H44" s="489"/>
      <c r="I44" s="489"/>
      <c r="L44" s="490" t="s">
        <v>490</v>
      </c>
      <c r="M44" s="491"/>
      <c r="N44" s="491"/>
      <c r="O44" s="491"/>
      <c r="P44" s="491"/>
      <c r="Q44" s="491"/>
      <c r="R44" s="491"/>
      <c r="S44" s="492"/>
      <c r="V44" s="490" t="s">
        <v>491</v>
      </c>
      <c r="W44" s="491"/>
      <c r="X44" s="491"/>
      <c r="Y44" s="491"/>
      <c r="Z44" s="491"/>
      <c r="AA44" s="491"/>
      <c r="AB44" s="491"/>
      <c r="AC44" s="492"/>
      <c r="AE44" s="490" t="s">
        <v>492</v>
      </c>
      <c r="AF44" s="491"/>
      <c r="AG44" s="491"/>
      <c r="AH44" s="491"/>
      <c r="AI44" s="491"/>
      <c r="AJ44" s="492"/>
      <c r="AO44" s="490" t="s">
        <v>504</v>
      </c>
      <c r="AP44" s="491"/>
      <c r="AQ44" s="491"/>
      <c r="AR44" s="491"/>
      <c r="AS44" s="491"/>
      <c r="AT44" s="491"/>
      <c r="AU44" s="491"/>
      <c r="AV44" s="491"/>
      <c r="AW44" s="492"/>
      <c r="AZ44" s="3">
        <v>1.1</v>
      </c>
      <c r="BA44" s="514" t="s">
        <v>520</v>
      </c>
      <c r="BB44" s="515"/>
      <c r="BC44" s="515"/>
      <c r="BD44" s="515"/>
      <c r="BE44" s="515"/>
      <c r="BF44" s="515"/>
      <c r="BG44" s="515"/>
      <c r="BH44" s="515"/>
      <c r="BI44" s="476"/>
    </row>
    <row r="45" ht="15.75" customHeight="1">
      <c r="A45" s="494" t="s">
        <v>104</v>
      </c>
      <c r="B45" s="496" t="s">
        <v>473</v>
      </c>
      <c r="C45" s="476"/>
      <c r="D45" s="496" t="s">
        <v>71</v>
      </c>
      <c r="E45" s="476"/>
      <c r="F45" s="496" t="s">
        <v>494</v>
      </c>
      <c r="G45" s="476"/>
      <c r="H45" s="496" t="s">
        <v>495</v>
      </c>
      <c r="I45" s="497"/>
      <c r="K45" s="494" t="s">
        <v>104</v>
      </c>
      <c r="L45" s="496" t="s">
        <v>473</v>
      </c>
      <c r="M45" s="476"/>
      <c r="N45" s="496" t="s">
        <v>71</v>
      </c>
      <c r="O45" s="476"/>
      <c r="P45" s="496" t="s">
        <v>494</v>
      </c>
      <c r="Q45" s="476"/>
      <c r="R45" s="496" t="s">
        <v>495</v>
      </c>
      <c r="S45" s="497"/>
      <c r="U45" s="494" t="s">
        <v>104</v>
      </c>
      <c r="V45" s="496" t="s">
        <v>473</v>
      </c>
      <c r="W45" s="476"/>
      <c r="X45" s="496" t="s">
        <v>71</v>
      </c>
      <c r="Y45" s="476"/>
      <c r="Z45" s="496" t="s">
        <v>494</v>
      </c>
      <c r="AA45" s="476"/>
      <c r="AB45" s="496" t="s">
        <v>495</v>
      </c>
      <c r="AC45" s="497"/>
      <c r="AE45" s="494" t="s">
        <v>104</v>
      </c>
      <c r="AF45" s="496" t="s">
        <v>473</v>
      </c>
      <c r="AG45" s="476"/>
      <c r="AH45" s="496" t="s">
        <v>71</v>
      </c>
      <c r="AI45" s="476"/>
      <c r="AJ45" s="496" t="s">
        <v>494</v>
      </c>
      <c r="AK45" s="476"/>
      <c r="AL45" s="496" t="s">
        <v>495</v>
      </c>
      <c r="AM45" s="497"/>
      <c r="AO45" s="494" t="s">
        <v>104</v>
      </c>
      <c r="AP45" s="498" t="s">
        <v>473</v>
      </c>
      <c r="AQ45" s="476"/>
      <c r="AR45" s="499" t="s">
        <v>71</v>
      </c>
      <c r="AS45" s="476"/>
      <c r="AT45" s="500" t="s">
        <v>494</v>
      </c>
      <c r="AU45" s="476"/>
      <c r="AV45" s="498" t="s">
        <v>495</v>
      </c>
      <c r="AW45" s="497"/>
      <c r="AZ45" s="3">
        <v>1.1</v>
      </c>
      <c r="BA45" s="494" t="s">
        <v>521</v>
      </c>
      <c r="BB45" s="498" t="s">
        <v>473</v>
      </c>
      <c r="BC45" s="476"/>
      <c r="BD45" s="499" t="s">
        <v>71</v>
      </c>
      <c r="BE45" s="476"/>
      <c r="BF45" s="500" t="s">
        <v>494</v>
      </c>
      <c r="BG45" s="476"/>
      <c r="BH45" s="498" t="s">
        <v>495</v>
      </c>
      <c r="BI45" s="497"/>
      <c r="BJ45" s="496" t="s">
        <v>497</v>
      </c>
      <c r="BK45" s="476"/>
      <c r="BL45" s="501" t="s">
        <v>498</v>
      </c>
      <c r="BM45" s="476"/>
    </row>
    <row r="46" ht="15.75" customHeight="1">
      <c r="A46" s="494" t="s">
        <v>521</v>
      </c>
      <c r="B46" s="494" t="s">
        <v>10</v>
      </c>
      <c r="C46" s="502" t="s">
        <v>11</v>
      </c>
      <c r="D46" s="502" t="s">
        <v>10</v>
      </c>
      <c r="E46" s="502" t="s">
        <v>11</v>
      </c>
      <c r="F46" s="494" t="s">
        <v>10</v>
      </c>
      <c r="G46" s="502" t="s">
        <v>11</v>
      </c>
      <c r="H46" s="502" t="s">
        <v>10</v>
      </c>
      <c r="I46" s="502" t="s">
        <v>11</v>
      </c>
      <c r="K46" s="494" t="s">
        <v>521</v>
      </c>
      <c r="L46" s="494" t="s">
        <v>10</v>
      </c>
      <c r="M46" s="502" t="s">
        <v>11</v>
      </c>
      <c r="N46" s="502" t="s">
        <v>10</v>
      </c>
      <c r="O46" s="502" t="s">
        <v>11</v>
      </c>
      <c r="P46" s="494" t="s">
        <v>10</v>
      </c>
      <c r="Q46" s="502" t="s">
        <v>11</v>
      </c>
      <c r="R46" s="502" t="s">
        <v>10</v>
      </c>
      <c r="S46" s="502" t="s">
        <v>11</v>
      </c>
      <c r="U46" s="494" t="s">
        <v>521</v>
      </c>
      <c r="V46" s="494" t="s">
        <v>10</v>
      </c>
      <c r="W46" s="502" t="s">
        <v>11</v>
      </c>
      <c r="X46" s="502" t="s">
        <v>10</v>
      </c>
      <c r="Y46" s="502" t="s">
        <v>11</v>
      </c>
      <c r="Z46" s="494" t="s">
        <v>10</v>
      </c>
      <c r="AA46" s="502" t="s">
        <v>11</v>
      </c>
      <c r="AB46" s="502" t="s">
        <v>10</v>
      </c>
      <c r="AC46" s="502" t="s">
        <v>11</v>
      </c>
      <c r="AE46" s="494" t="s">
        <v>521</v>
      </c>
      <c r="AF46" s="494" t="s">
        <v>10</v>
      </c>
      <c r="AG46" s="502" t="s">
        <v>11</v>
      </c>
      <c r="AH46" s="502" t="s">
        <v>10</v>
      </c>
      <c r="AI46" s="502" t="s">
        <v>11</v>
      </c>
      <c r="AJ46" s="494" t="s">
        <v>10</v>
      </c>
      <c r="AK46" s="502" t="s">
        <v>11</v>
      </c>
      <c r="AL46" s="502" t="s">
        <v>10</v>
      </c>
      <c r="AM46" s="502" t="s">
        <v>11</v>
      </c>
      <c r="AO46" s="494" t="s">
        <v>521</v>
      </c>
      <c r="AP46" s="503" t="s">
        <v>10</v>
      </c>
      <c r="AQ46" s="504" t="s">
        <v>11</v>
      </c>
      <c r="AR46" s="504" t="s">
        <v>10</v>
      </c>
      <c r="AS46" s="504" t="s">
        <v>11</v>
      </c>
      <c r="AT46" s="503" t="s">
        <v>10</v>
      </c>
      <c r="AU46" s="504" t="s">
        <v>11</v>
      </c>
      <c r="AV46" s="504" t="s">
        <v>10</v>
      </c>
      <c r="AW46" s="504" t="s">
        <v>11</v>
      </c>
      <c r="AZ46" s="3">
        <v>1.1</v>
      </c>
      <c r="BA46" s="494" t="s">
        <v>104</v>
      </c>
      <c r="BB46" s="503" t="s">
        <v>10</v>
      </c>
      <c r="BC46" s="504" t="s">
        <v>11</v>
      </c>
      <c r="BD46" s="504" t="s">
        <v>10</v>
      </c>
      <c r="BE46" s="504" t="s">
        <v>11</v>
      </c>
      <c r="BF46" s="503" t="s">
        <v>10</v>
      </c>
      <c r="BG46" s="504" t="s">
        <v>11</v>
      </c>
      <c r="BH46" s="504" t="s">
        <v>10</v>
      </c>
      <c r="BI46" s="504" t="s">
        <v>11</v>
      </c>
      <c r="BJ46" s="502" t="s">
        <v>10</v>
      </c>
      <c r="BK46" s="502" t="s">
        <v>11</v>
      </c>
      <c r="BL46" s="502" t="s">
        <v>10</v>
      </c>
      <c r="BM46" s="502" t="s">
        <v>11</v>
      </c>
    </row>
    <row r="47" ht="15.75" customHeight="1">
      <c r="A47" s="494">
        <v>100.0</v>
      </c>
      <c r="B47" s="36">
        <v>12.0</v>
      </c>
      <c r="C47" s="36">
        <v>12.0</v>
      </c>
      <c r="D47" s="36">
        <v>12.0</v>
      </c>
      <c r="E47" s="36">
        <v>12.0</v>
      </c>
      <c r="F47" s="36">
        <v>12.0</v>
      </c>
      <c r="G47" s="36">
        <v>12.0</v>
      </c>
      <c r="H47" s="36">
        <v>12.0</v>
      </c>
      <c r="I47" s="36">
        <v>12.0</v>
      </c>
      <c r="K47" s="494">
        <v>100.0</v>
      </c>
      <c r="L47" s="506">
        <f>Bajadas!$G5</f>
        <v>173713.4588</v>
      </c>
      <c r="M47" s="506">
        <f>Bajadas!$H5</f>
        <v>173945.5088</v>
      </c>
      <c r="N47" s="516">
        <f>Bajadas!$G5</f>
        <v>173713.4588</v>
      </c>
      <c r="O47" s="516">
        <f>Bajadas!$H5</f>
        <v>173945.5088</v>
      </c>
      <c r="P47" s="506">
        <f>Bajadas!$G5</f>
        <v>173713.4588</v>
      </c>
      <c r="Q47" s="506">
        <f>Bajadas!$H5</f>
        <v>173945.5088</v>
      </c>
      <c r="R47" s="506">
        <f>Bajadas!$G5</f>
        <v>173713.4588</v>
      </c>
      <c r="S47" s="506">
        <f>Bajadas!$H5</f>
        <v>173945.5088</v>
      </c>
      <c r="T47" s="36"/>
      <c r="U47" s="494">
        <v>100.0</v>
      </c>
      <c r="V47" s="36"/>
      <c r="W47" s="36"/>
      <c r="X47" s="20">
        <f t="shared" ref="X47:AC47" si="117">X35</f>
        <v>136.2627045</v>
      </c>
      <c r="Y47" s="20" t="str">
        <f t="shared" si="117"/>
        <v/>
      </c>
      <c r="Z47" s="20">
        <f t="shared" si="117"/>
        <v>163.5152453</v>
      </c>
      <c r="AA47" s="20" t="str">
        <f t="shared" si="117"/>
        <v/>
      </c>
      <c r="AB47" s="20">
        <f t="shared" si="117"/>
        <v>163.5152453</v>
      </c>
      <c r="AC47" s="20">
        <f t="shared" si="117"/>
        <v>327.0304907</v>
      </c>
      <c r="AE47" s="494">
        <v>100.0</v>
      </c>
      <c r="AF47" s="32">
        <v>400.0</v>
      </c>
      <c r="AG47" s="32">
        <v>400.0</v>
      </c>
      <c r="AH47" s="32">
        <v>400.0</v>
      </c>
      <c r="AI47" s="32">
        <v>400.0</v>
      </c>
      <c r="AJ47" s="32">
        <v>400.0</v>
      </c>
      <c r="AK47" s="32">
        <v>400.0</v>
      </c>
      <c r="AL47" s="32">
        <v>400.0</v>
      </c>
      <c r="AM47" s="32">
        <v>400.0</v>
      </c>
      <c r="AO47" s="494">
        <v>100.0</v>
      </c>
      <c r="AP47" s="507">
        <f t="shared" ref="AP47:AW47" si="118">(B47*L47)+V47*B47+AF47</f>
        <v>2084961.505</v>
      </c>
      <c r="AQ47" s="507">
        <f t="shared" si="118"/>
        <v>2087746.105</v>
      </c>
      <c r="AR47" s="508">
        <f t="shared" si="118"/>
        <v>2086596.657</v>
      </c>
      <c r="AS47" s="508">
        <f t="shared" si="118"/>
        <v>2087746.105</v>
      </c>
      <c r="AT47" s="509">
        <f t="shared" si="118"/>
        <v>2086923.688</v>
      </c>
      <c r="AU47" s="509">
        <f t="shared" si="118"/>
        <v>2087746.105</v>
      </c>
      <c r="AV47" s="510">
        <f t="shared" si="118"/>
        <v>2086923.688</v>
      </c>
      <c r="AW47" s="510">
        <f t="shared" si="118"/>
        <v>2091670.471</v>
      </c>
      <c r="AZ47" s="3">
        <v>1.1</v>
      </c>
      <c r="BA47" s="494">
        <v>100.0</v>
      </c>
      <c r="BB47" s="507">
        <f t="shared" ref="BB47:BB51" si="123">AP47*AZ33</f>
        <v>2293457.656</v>
      </c>
      <c r="BC47" s="507">
        <f t="shared" ref="BC47:BC51" si="124">AQ47*AZ33</f>
        <v>2296520.716</v>
      </c>
      <c r="BD47" s="508">
        <f t="shared" ref="BD47:BD51" si="125">AR47*AZ34</f>
        <v>2295256.323</v>
      </c>
      <c r="BE47" s="508">
        <f t="shared" ref="BE47:BE51" si="126">AS47*AZ33</f>
        <v>2296520.716</v>
      </c>
      <c r="BF47" s="509">
        <f>AT47*AZ34</f>
        <v>2295616.057</v>
      </c>
      <c r="BG47" s="509">
        <f>AU47*AZ34</f>
        <v>2296520.716</v>
      </c>
      <c r="BH47" s="510">
        <f t="shared" ref="BH47:BH51" si="127">AV47*AZ34</f>
        <v>2295616.057</v>
      </c>
      <c r="BI47" s="510">
        <f t="shared" ref="BI47:BI51" si="128">AW47*AZ34</f>
        <v>2300837.518</v>
      </c>
      <c r="BJ47" s="108">
        <f t="shared" ref="BJ47:BK47" si="119">CEILING(BH47*1.15,1)</f>
        <v>2639959</v>
      </c>
      <c r="BK47" s="108">
        <f t="shared" si="119"/>
        <v>2645964</v>
      </c>
      <c r="BL47" s="511">
        <f t="shared" ref="BL47:BM47" si="120">BH47*1.4</f>
        <v>3213862.479</v>
      </c>
      <c r="BM47" s="511">
        <f t="shared" si="120"/>
        <v>3221172.525</v>
      </c>
    </row>
    <row r="48" ht="15.75" customHeight="1">
      <c r="A48" s="494">
        <v>200.0</v>
      </c>
      <c r="B48" s="36">
        <v>23.0</v>
      </c>
      <c r="C48" s="36">
        <v>23.0</v>
      </c>
      <c r="D48" s="36">
        <v>23.0</v>
      </c>
      <c r="E48" s="36">
        <v>23.0</v>
      </c>
      <c r="F48" s="36">
        <v>23.0</v>
      </c>
      <c r="G48" s="36">
        <v>23.0</v>
      </c>
      <c r="H48" s="36">
        <v>23.0</v>
      </c>
      <c r="I48" s="36">
        <v>23.0</v>
      </c>
      <c r="K48" s="494">
        <v>200.0</v>
      </c>
      <c r="L48" s="506">
        <f>Bajadas!$G5</f>
        <v>173713.4588</v>
      </c>
      <c r="M48" s="506">
        <f>Bajadas!$H5</f>
        <v>173945.5088</v>
      </c>
      <c r="N48" s="516">
        <f>Bajadas!$G5</f>
        <v>173713.4588</v>
      </c>
      <c r="O48" s="516">
        <f>Bajadas!$H5</f>
        <v>173945.5088</v>
      </c>
      <c r="P48" s="506">
        <f>Bajadas!$G5</f>
        <v>173713.4588</v>
      </c>
      <c r="Q48" s="506">
        <f>Bajadas!$H5</f>
        <v>173945.5088</v>
      </c>
      <c r="R48" s="506">
        <f>Bajadas!$G5</f>
        <v>173713.4588</v>
      </c>
      <c r="S48" s="506">
        <f>Bajadas!$H5</f>
        <v>173945.5088</v>
      </c>
      <c r="T48" s="36"/>
      <c r="U48" s="494">
        <v>200.0</v>
      </c>
      <c r="V48" s="36"/>
      <c r="W48" s="36"/>
      <c r="X48" s="20">
        <f t="shared" ref="X48:AC48" si="121">X36</f>
        <v>136.2627045</v>
      </c>
      <c r="Y48" s="20" t="str">
        <f t="shared" si="121"/>
        <v/>
      </c>
      <c r="Z48" s="20">
        <f t="shared" si="121"/>
        <v>151.2516019</v>
      </c>
      <c r="AA48" s="20" t="str">
        <f t="shared" si="121"/>
        <v/>
      </c>
      <c r="AB48" s="20">
        <f t="shared" si="121"/>
        <v>163.5152453</v>
      </c>
      <c r="AC48" s="20">
        <f t="shared" si="121"/>
        <v>327.0304907</v>
      </c>
      <c r="AE48" s="494">
        <v>200.0</v>
      </c>
      <c r="AF48" s="32">
        <v>500.0</v>
      </c>
      <c r="AG48" s="32">
        <v>500.0</v>
      </c>
      <c r="AH48" s="32">
        <v>500.0</v>
      </c>
      <c r="AI48" s="32">
        <v>500.0</v>
      </c>
      <c r="AJ48" s="32">
        <v>500.0</v>
      </c>
      <c r="AK48" s="32">
        <v>500.0</v>
      </c>
      <c r="AL48" s="32">
        <v>500.0</v>
      </c>
      <c r="AM48" s="32">
        <v>500.0</v>
      </c>
      <c r="AO48" s="494">
        <v>200.0</v>
      </c>
      <c r="AP48" s="507">
        <f t="shared" ref="AP48:AW48" si="122">(B48*L48)+V48*B48+AF48</f>
        <v>3995909.551</v>
      </c>
      <c r="AQ48" s="507">
        <f t="shared" si="122"/>
        <v>4001246.701</v>
      </c>
      <c r="AR48" s="508">
        <f t="shared" si="122"/>
        <v>3999043.593</v>
      </c>
      <c r="AS48" s="508">
        <f t="shared" si="122"/>
        <v>4001246.701</v>
      </c>
      <c r="AT48" s="509">
        <f t="shared" si="122"/>
        <v>3999388.338</v>
      </c>
      <c r="AU48" s="509">
        <f t="shared" si="122"/>
        <v>4001246.701</v>
      </c>
      <c r="AV48" s="510">
        <f t="shared" si="122"/>
        <v>3999670.402</v>
      </c>
      <c r="AW48" s="510">
        <f t="shared" si="122"/>
        <v>4008768.403</v>
      </c>
      <c r="AZ48" s="3">
        <v>1.1</v>
      </c>
      <c r="BA48" s="494">
        <v>200.0</v>
      </c>
      <c r="BB48" s="507">
        <f t="shared" si="123"/>
        <v>4395500.506</v>
      </c>
      <c r="BC48" s="507">
        <f t="shared" si="124"/>
        <v>4401371.371</v>
      </c>
      <c r="BD48" s="508">
        <f t="shared" si="125"/>
        <v>4398947.953</v>
      </c>
      <c r="BE48" s="508">
        <f t="shared" si="126"/>
        <v>4401371.371</v>
      </c>
      <c r="BF48" s="509">
        <f t="shared" ref="BF48:BF51" si="133">(R48*AB48)+AL48*R48+AV48</f>
        <v>119261198.6</v>
      </c>
      <c r="BG48" s="509">
        <f t="shared" ref="BG48:BG51" si="134">(Q48*AC48)+AL48*Q48+AW48</f>
        <v>147867007.9</v>
      </c>
      <c r="BH48" s="510">
        <f t="shared" si="127"/>
        <v>4399637.442</v>
      </c>
      <c r="BI48" s="510">
        <f t="shared" si="128"/>
        <v>4409645.243</v>
      </c>
      <c r="BJ48" s="108">
        <f t="shared" ref="BJ48:BK48" si="129">CEILING(BH48*1.15,1)</f>
        <v>5059584</v>
      </c>
      <c r="BK48" s="108">
        <f t="shared" si="129"/>
        <v>5071093</v>
      </c>
      <c r="BL48" s="511">
        <f t="shared" ref="BL48:BM48" si="130">BH48*1.4</f>
        <v>6159492.419</v>
      </c>
      <c r="BM48" s="511">
        <f t="shared" si="130"/>
        <v>6173503.34</v>
      </c>
    </row>
    <row r="49" ht="15.75" customHeight="1">
      <c r="A49" s="494">
        <v>300.0</v>
      </c>
      <c r="B49" s="36">
        <v>34.0</v>
      </c>
      <c r="C49" s="36">
        <v>34.0</v>
      </c>
      <c r="D49" s="36">
        <v>34.0</v>
      </c>
      <c r="E49" s="36">
        <v>34.0</v>
      </c>
      <c r="F49" s="36">
        <v>34.0</v>
      </c>
      <c r="G49" s="36">
        <v>34.0</v>
      </c>
      <c r="H49" s="36">
        <v>34.0</v>
      </c>
      <c r="I49" s="36">
        <v>34.0</v>
      </c>
      <c r="K49" s="494">
        <v>300.0</v>
      </c>
      <c r="L49" s="506">
        <f>Bajadas!$G6</f>
        <v>168604.2394</v>
      </c>
      <c r="M49" s="506">
        <f>Bajadas!$H6</f>
        <v>168829.4644</v>
      </c>
      <c r="N49" s="516">
        <f>Bajadas!$G6</f>
        <v>168604.2394</v>
      </c>
      <c r="O49" s="516">
        <f>Bajadas!$H6</f>
        <v>168829.4644</v>
      </c>
      <c r="P49" s="506">
        <f>Bajadas!$G6</f>
        <v>168604.2394</v>
      </c>
      <c r="Q49" s="506">
        <f>Bajadas!$H6</f>
        <v>168829.4644</v>
      </c>
      <c r="R49" s="506">
        <f>Bajadas!$G6</f>
        <v>168604.2394</v>
      </c>
      <c r="S49" s="506">
        <f>Bajadas!$H6</f>
        <v>168829.4644</v>
      </c>
      <c r="T49" s="36"/>
      <c r="U49" s="494">
        <v>300.0</v>
      </c>
      <c r="V49" s="36"/>
      <c r="W49" s="36"/>
      <c r="X49" s="20">
        <f t="shared" ref="X49:AC49" si="131">X37</f>
        <v>115.8232988</v>
      </c>
      <c r="Y49" s="20" t="str">
        <f t="shared" si="131"/>
        <v/>
      </c>
      <c r="Z49" s="20">
        <f t="shared" si="131"/>
        <v>138.9879585</v>
      </c>
      <c r="AA49" s="20" t="str">
        <f t="shared" si="131"/>
        <v/>
      </c>
      <c r="AB49" s="20">
        <f t="shared" si="131"/>
        <v>151.2516019</v>
      </c>
      <c r="AC49" s="20">
        <f t="shared" si="131"/>
        <v>302.5032039</v>
      </c>
      <c r="AE49" s="494">
        <v>300.0</v>
      </c>
      <c r="AF49" s="32">
        <v>700.0</v>
      </c>
      <c r="AG49" s="32">
        <v>700.0</v>
      </c>
      <c r="AH49" s="32">
        <v>700.0</v>
      </c>
      <c r="AI49" s="32">
        <v>700.0</v>
      </c>
      <c r="AJ49" s="32">
        <v>700.0</v>
      </c>
      <c r="AK49" s="32">
        <v>700.0</v>
      </c>
      <c r="AL49" s="32">
        <v>700.0</v>
      </c>
      <c r="AM49" s="32">
        <v>700.0</v>
      </c>
      <c r="AO49" s="494">
        <v>300.0</v>
      </c>
      <c r="AP49" s="507">
        <f t="shared" ref="AP49:AW49" si="132">(B49*L49)+V49*B49+AF49</f>
        <v>5733244.139</v>
      </c>
      <c r="AQ49" s="507">
        <f t="shared" si="132"/>
        <v>5740901.789</v>
      </c>
      <c r="AR49" s="508">
        <f t="shared" si="132"/>
        <v>5737182.131</v>
      </c>
      <c r="AS49" s="508">
        <f t="shared" si="132"/>
        <v>5740901.789</v>
      </c>
      <c r="AT49" s="509">
        <f t="shared" si="132"/>
        <v>5737969.729</v>
      </c>
      <c r="AU49" s="509">
        <f t="shared" si="132"/>
        <v>5740901.789</v>
      </c>
      <c r="AV49" s="510">
        <f t="shared" si="132"/>
        <v>5738386.693</v>
      </c>
      <c r="AW49" s="510">
        <f t="shared" si="132"/>
        <v>5751186.898</v>
      </c>
      <c r="AZ49" s="3">
        <v>1.1</v>
      </c>
      <c r="BA49" s="494">
        <v>300.0</v>
      </c>
      <c r="BB49" s="507">
        <f t="shared" si="123"/>
        <v>6306568.553</v>
      </c>
      <c r="BC49" s="507">
        <f t="shared" si="124"/>
        <v>6314991.968</v>
      </c>
      <c r="BD49" s="508">
        <f t="shared" si="125"/>
        <v>6310900.344</v>
      </c>
      <c r="BE49" s="508">
        <f t="shared" si="126"/>
        <v>6314991.968</v>
      </c>
      <c r="BF49" s="509">
        <f t="shared" si="133"/>
        <v>149263015.6</v>
      </c>
      <c r="BG49" s="509">
        <f t="shared" si="134"/>
        <v>175003265.8</v>
      </c>
      <c r="BH49" s="510">
        <f t="shared" si="127"/>
        <v>6312225.363</v>
      </c>
      <c r="BI49" s="510">
        <f t="shared" si="128"/>
        <v>6326305.587</v>
      </c>
      <c r="BJ49" s="108">
        <f t="shared" ref="BJ49:BK49" si="135">CEILING(BH49*1.15,1)</f>
        <v>7259060</v>
      </c>
      <c r="BK49" s="108">
        <f t="shared" si="135"/>
        <v>7275252</v>
      </c>
      <c r="BL49" s="511">
        <f t="shared" ref="BL49:BM49" si="136">BH49*1.4</f>
        <v>8837115.508</v>
      </c>
      <c r="BM49" s="511">
        <f t="shared" si="136"/>
        <v>8856827.822</v>
      </c>
    </row>
    <row r="50" ht="15.75" customHeight="1">
      <c r="A50" s="494">
        <v>500.0</v>
      </c>
      <c r="B50" s="36">
        <v>56.0</v>
      </c>
      <c r="C50" s="36">
        <v>56.0</v>
      </c>
      <c r="D50" s="36">
        <v>56.0</v>
      </c>
      <c r="E50" s="36">
        <v>56.0</v>
      </c>
      <c r="F50" s="36">
        <v>56.0</v>
      </c>
      <c r="G50" s="36">
        <v>56.0</v>
      </c>
      <c r="H50" s="36">
        <v>56.0</v>
      </c>
      <c r="I50" s="36">
        <v>56.0</v>
      </c>
      <c r="K50" s="494">
        <v>500.0</v>
      </c>
      <c r="L50" s="506">
        <f>Bajadas!$G7</f>
        <v>163495.02</v>
      </c>
      <c r="M50" s="506">
        <f>Bajadas!$H7</f>
        <v>163713.42</v>
      </c>
      <c r="N50" s="516">
        <f>Bajadas!$G7</f>
        <v>163495.02</v>
      </c>
      <c r="O50" s="516">
        <f>Bajadas!$H7</f>
        <v>163713.42</v>
      </c>
      <c r="P50" s="506">
        <f>Bajadas!$G7</f>
        <v>163495.02</v>
      </c>
      <c r="Q50" s="506">
        <f>Bajadas!$H7</f>
        <v>163713.42</v>
      </c>
      <c r="R50" s="506">
        <f>Bajadas!$G7</f>
        <v>163495.02</v>
      </c>
      <c r="S50" s="506">
        <f>Bajadas!$H7</f>
        <v>163713.42</v>
      </c>
      <c r="T50" s="36"/>
      <c r="U50" s="494">
        <v>500.0</v>
      </c>
      <c r="V50" s="36"/>
      <c r="W50" s="36"/>
      <c r="X50" s="20">
        <f t="shared" ref="X50:AC50" si="137">X38</f>
        <v>105.603596</v>
      </c>
      <c r="Y50" s="20" t="str">
        <f t="shared" si="137"/>
        <v/>
      </c>
      <c r="Z50" s="20">
        <f t="shared" si="137"/>
        <v>126.7243151</v>
      </c>
      <c r="AA50" s="20" t="str">
        <f t="shared" si="137"/>
        <v/>
      </c>
      <c r="AB50" s="20">
        <f t="shared" si="137"/>
        <v>151.2516019</v>
      </c>
      <c r="AC50" s="20">
        <f t="shared" si="137"/>
        <v>302.5032039</v>
      </c>
      <c r="AE50" s="494">
        <v>500.0</v>
      </c>
      <c r="AF50" s="32">
        <v>1000.0</v>
      </c>
      <c r="AG50" s="32">
        <v>1000.0</v>
      </c>
      <c r="AH50" s="32">
        <v>1000.0</v>
      </c>
      <c r="AI50" s="32">
        <v>1000.0</v>
      </c>
      <c r="AJ50" s="32">
        <v>1000.0</v>
      </c>
      <c r="AK50" s="32">
        <v>1000.0</v>
      </c>
      <c r="AL50" s="32">
        <v>1000.0</v>
      </c>
      <c r="AM50" s="32">
        <v>1000.0</v>
      </c>
      <c r="AO50" s="494">
        <v>500.0</v>
      </c>
      <c r="AP50" s="507">
        <f t="shared" ref="AP50:AW50" si="138">(B50*L50)+V50*B50+AF50</f>
        <v>9156721.12</v>
      </c>
      <c r="AQ50" s="507">
        <f t="shared" si="138"/>
        <v>9168951.52</v>
      </c>
      <c r="AR50" s="508">
        <f t="shared" si="138"/>
        <v>9162634.921</v>
      </c>
      <c r="AS50" s="508">
        <f t="shared" si="138"/>
        <v>9168951.52</v>
      </c>
      <c r="AT50" s="509">
        <f t="shared" si="138"/>
        <v>9163817.682</v>
      </c>
      <c r="AU50" s="509">
        <f t="shared" si="138"/>
        <v>9168951.52</v>
      </c>
      <c r="AV50" s="510">
        <f t="shared" si="138"/>
        <v>9165191.21</v>
      </c>
      <c r="AW50" s="510">
        <f t="shared" si="138"/>
        <v>9185891.699</v>
      </c>
      <c r="AZ50" s="3">
        <v>1.1</v>
      </c>
      <c r="BA50" s="494">
        <v>500.0</v>
      </c>
      <c r="BB50" s="507">
        <f t="shared" si="123"/>
        <v>10072393.23</v>
      </c>
      <c r="BC50" s="507">
        <f t="shared" si="124"/>
        <v>10085846.67</v>
      </c>
      <c r="BD50" s="508">
        <f t="shared" si="125"/>
        <v>10078898.41</v>
      </c>
      <c r="BE50" s="508">
        <f t="shared" si="126"/>
        <v>10085846.67</v>
      </c>
      <c r="BF50" s="509">
        <f t="shared" si="133"/>
        <v>197389094.9</v>
      </c>
      <c r="BG50" s="509">
        <f t="shared" si="134"/>
        <v>222423145.8</v>
      </c>
      <c r="BH50" s="510">
        <f t="shared" si="127"/>
        <v>10081710.33</v>
      </c>
      <c r="BI50" s="510">
        <f t="shared" si="128"/>
        <v>10104480.87</v>
      </c>
      <c r="BJ50" s="108">
        <f t="shared" ref="BJ50:BK50" si="139">CEILING(BH50*1.15,1)</f>
        <v>11593967</v>
      </c>
      <c r="BK50" s="108">
        <f t="shared" si="139"/>
        <v>11620153</v>
      </c>
      <c r="BL50" s="511">
        <f t="shared" ref="BL50:BM50" si="140">BH50*1.4</f>
        <v>14114394.46</v>
      </c>
      <c r="BM50" s="511">
        <f t="shared" si="140"/>
        <v>14146273.22</v>
      </c>
    </row>
    <row r="51" ht="15.75" customHeight="1">
      <c r="A51" s="494">
        <v>1000.0</v>
      </c>
      <c r="B51" s="36">
        <v>112.0</v>
      </c>
      <c r="C51" s="36">
        <v>112.0</v>
      </c>
      <c r="D51" s="36">
        <v>112.0</v>
      </c>
      <c r="E51" s="36">
        <v>112.0</v>
      </c>
      <c r="F51" s="36">
        <v>112.0</v>
      </c>
      <c r="G51" s="36">
        <v>112.0</v>
      </c>
      <c r="H51" s="36">
        <v>112.0</v>
      </c>
      <c r="I51" s="36">
        <v>112.0</v>
      </c>
      <c r="K51" s="494">
        <v>1000.0</v>
      </c>
      <c r="L51" s="506">
        <f>Bajadas!$G8</f>
        <v>158385.8006</v>
      </c>
      <c r="M51" s="506">
        <f>Bajadas!$H8</f>
        <v>158597.3756</v>
      </c>
      <c r="N51" s="516">
        <f>Bajadas!$G8</f>
        <v>158385.8006</v>
      </c>
      <c r="O51" s="516">
        <f>Bajadas!$H8</f>
        <v>158597.3756</v>
      </c>
      <c r="P51" s="506">
        <f>Bajadas!$G8</f>
        <v>158385.8006</v>
      </c>
      <c r="Q51" s="506">
        <f>Bajadas!$H8</f>
        <v>158597.3756</v>
      </c>
      <c r="R51" s="506">
        <f>Bajadas!$G8</f>
        <v>158385.8006</v>
      </c>
      <c r="S51" s="506">
        <f>Bajadas!$H8</f>
        <v>158597.3756</v>
      </c>
      <c r="T51" s="36"/>
      <c r="U51" s="494">
        <v>1000.0</v>
      </c>
      <c r="V51" s="36"/>
      <c r="W51" s="36"/>
      <c r="X51" s="20">
        <f t="shared" ref="X51:AC51" si="141">X39</f>
        <v>98.79046073</v>
      </c>
      <c r="Y51" s="20" t="str">
        <f t="shared" si="141"/>
        <v/>
      </c>
      <c r="Z51" s="20">
        <f t="shared" si="141"/>
        <v>118.5485529</v>
      </c>
      <c r="AA51" s="20" t="str">
        <f t="shared" si="141"/>
        <v/>
      </c>
      <c r="AB51" s="20">
        <f t="shared" si="141"/>
        <v>151.2516019</v>
      </c>
      <c r="AC51" s="20">
        <f t="shared" si="141"/>
        <v>302.5032039</v>
      </c>
      <c r="AE51" s="494">
        <v>1000.0</v>
      </c>
      <c r="AF51" s="32">
        <v>1600.0</v>
      </c>
      <c r="AG51" s="32">
        <v>1600.0</v>
      </c>
      <c r="AH51" s="32">
        <v>1600.0</v>
      </c>
      <c r="AI51" s="32">
        <v>1600.0</v>
      </c>
      <c r="AJ51" s="32">
        <v>1600.0</v>
      </c>
      <c r="AK51" s="32">
        <v>1600.0</v>
      </c>
      <c r="AL51" s="32">
        <v>1600.0</v>
      </c>
      <c r="AM51" s="32">
        <v>1600.0</v>
      </c>
      <c r="AO51" s="494">
        <v>1000.0</v>
      </c>
      <c r="AP51" s="507">
        <f t="shared" ref="AP51:AW51" si="142">(B51*L51)+V51*B51+AF51</f>
        <v>17740809.67</v>
      </c>
      <c r="AQ51" s="507">
        <f t="shared" si="142"/>
        <v>17764506.07</v>
      </c>
      <c r="AR51" s="508">
        <f t="shared" si="142"/>
        <v>17751874.2</v>
      </c>
      <c r="AS51" s="508">
        <f t="shared" si="142"/>
        <v>17764506.07</v>
      </c>
      <c r="AT51" s="509">
        <f t="shared" si="142"/>
        <v>17754087.11</v>
      </c>
      <c r="AU51" s="509">
        <f t="shared" si="142"/>
        <v>17764506.07</v>
      </c>
      <c r="AV51" s="510">
        <f t="shared" si="142"/>
        <v>17757749.85</v>
      </c>
      <c r="AW51" s="510">
        <f t="shared" si="142"/>
        <v>17798386.43</v>
      </c>
      <c r="AZ51" s="3">
        <v>1.1</v>
      </c>
      <c r="BA51" s="494">
        <v>1000.0</v>
      </c>
      <c r="BB51" s="507">
        <f t="shared" si="123"/>
        <v>19514890.64</v>
      </c>
      <c r="BC51" s="507">
        <f t="shared" si="124"/>
        <v>19540956.68</v>
      </c>
      <c r="BD51" s="508">
        <f t="shared" si="125"/>
        <v>19527061.62</v>
      </c>
      <c r="BE51" s="508">
        <f t="shared" si="126"/>
        <v>19540956.68</v>
      </c>
      <c r="BF51" s="509">
        <f t="shared" si="133"/>
        <v>295131136.9</v>
      </c>
      <c r="BG51" s="509">
        <f t="shared" si="134"/>
        <v>319530401.7</v>
      </c>
      <c r="BH51" s="510">
        <f t="shared" si="127"/>
        <v>19533524.83</v>
      </c>
      <c r="BI51" s="510">
        <f t="shared" si="128"/>
        <v>19578225.07</v>
      </c>
      <c r="BJ51" s="108">
        <f t="shared" ref="BJ51:BK51" si="143">CEILING(BH51*1.15,1)</f>
        <v>22463554</v>
      </c>
      <c r="BK51" s="108">
        <f t="shared" si="143"/>
        <v>22514959</v>
      </c>
      <c r="BL51" s="511">
        <f t="shared" ref="BL51:BM51" si="144">BH51*1.4</f>
        <v>27346934.77</v>
      </c>
      <c r="BM51" s="511">
        <f t="shared" si="144"/>
        <v>27409515.1</v>
      </c>
    </row>
    <row r="52" ht="15.75" customHeight="1">
      <c r="AZ52" s="3">
        <v>1.1</v>
      </c>
    </row>
    <row r="53" ht="15.75" customHeight="1">
      <c r="AZ53" s="3">
        <v>1.1</v>
      </c>
    </row>
    <row r="54" ht="15.75" customHeight="1">
      <c r="AZ54" s="3">
        <v>1.1</v>
      </c>
    </row>
    <row r="55" ht="15.75" customHeight="1">
      <c r="A55" s="28" t="s">
        <v>516</v>
      </c>
      <c r="I55" s="496"/>
      <c r="J55" s="476"/>
      <c r="AZ55" s="3">
        <v>1.1</v>
      </c>
      <c r="BA55" s="494" t="s">
        <v>517</v>
      </c>
    </row>
    <row r="56" ht="15.75" customHeight="1">
      <c r="A56" s="3" t="s">
        <v>485</v>
      </c>
      <c r="I56" s="502"/>
      <c r="J56" s="502"/>
      <c r="AZ56" s="3">
        <v>1.1</v>
      </c>
      <c r="BA56" s="3" t="s">
        <v>513</v>
      </c>
    </row>
    <row r="57" ht="15.75" customHeight="1">
      <c r="A57" s="116" t="s">
        <v>513</v>
      </c>
      <c r="B57" s="116"/>
      <c r="AZ57" s="3">
        <v>1.1</v>
      </c>
      <c r="BA57" s="3" t="s">
        <v>518</v>
      </c>
    </row>
    <row r="58" ht="15.75" customHeight="1">
      <c r="A58" s="3" t="s">
        <v>518</v>
      </c>
      <c r="D58" s="488" t="s">
        <v>519</v>
      </c>
      <c r="E58" s="489"/>
      <c r="F58" s="489"/>
      <c r="G58" s="489"/>
      <c r="H58" s="489"/>
      <c r="I58" s="489"/>
      <c r="L58" s="490" t="s">
        <v>490</v>
      </c>
      <c r="M58" s="491"/>
      <c r="N58" s="491"/>
      <c r="O58" s="491"/>
      <c r="P58" s="491"/>
      <c r="Q58" s="491"/>
      <c r="R58" s="491"/>
      <c r="S58" s="492"/>
      <c r="V58" s="490" t="s">
        <v>491</v>
      </c>
      <c r="W58" s="491"/>
      <c r="X58" s="491"/>
      <c r="Y58" s="491"/>
      <c r="Z58" s="491"/>
      <c r="AA58" s="491"/>
      <c r="AB58" s="491"/>
      <c r="AC58" s="492"/>
      <c r="AE58" s="490" t="s">
        <v>492</v>
      </c>
      <c r="AF58" s="491"/>
      <c r="AG58" s="491"/>
      <c r="AH58" s="491"/>
      <c r="AI58" s="491"/>
      <c r="AJ58" s="491"/>
      <c r="AK58" s="491"/>
      <c r="AL58" s="491"/>
      <c r="AM58" s="492"/>
      <c r="AO58" s="490" t="s">
        <v>504</v>
      </c>
      <c r="AP58" s="491"/>
      <c r="AQ58" s="491"/>
      <c r="AR58" s="491"/>
      <c r="AS58" s="491"/>
      <c r="AT58" s="491"/>
      <c r="AU58" s="491"/>
      <c r="AV58" s="491"/>
      <c r="AW58" s="492"/>
      <c r="AZ58" s="3">
        <v>1.1</v>
      </c>
      <c r="BA58" s="514" t="s">
        <v>520</v>
      </c>
      <c r="BB58" s="515"/>
      <c r="BC58" s="515"/>
      <c r="BD58" s="515"/>
      <c r="BE58" s="515"/>
      <c r="BF58" s="515"/>
      <c r="BG58" s="515"/>
      <c r="BH58" s="515"/>
      <c r="BI58" s="476"/>
    </row>
    <row r="59" ht="15.75" customHeight="1">
      <c r="A59" s="494" t="s">
        <v>104</v>
      </c>
      <c r="B59" s="496" t="s">
        <v>473</v>
      </c>
      <c r="C59" s="476"/>
      <c r="D59" s="496" t="s">
        <v>71</v>
      </c>
      <c r="E59" s="476"/>
      <c r="F59" s="496" t="s">
        <v>494</v>
      </c>
      <c r="G59" s="476"/>
      <c r="H59" s="496" t="s">
        <v>495</v>
      </c>
      <c r="I59" s="497"/>
      <c r="K59" s="494" t="s">
        <v>104</v>
      </c>
      <c r="L59" s="496" t="s">
        <v>473</v>
      </c>
      <c r="M59" s="476"/>
      <c r="N59" s="496" t="s">
        <v>71</v>
      </c>
      <c r="O59" s="476"/>
      <c r="P59" s="496" t="s">
        <v>494</v>
      </c>
      <c r="Q59" s="476"/>
      <c r="R59" s="496" t="s">
        <v>495</v>
      </c>
      <c r="S59" s="497"/>
      <c r="U59" s="494" t="s">
        <v>104</v>
      </c>
      <c r="V59" s="496" t="s">
        <v>473</v>
      </c>
      <c r="W59" s="476"/>
      <c r="X59" s="496" t="s">
        <v>71</v>
      </c>
      <c r="Y59" s="476"/>
      <c r="Z59" s="496" t="s">
        <v>494</v>
      </c>
      <c r="AA59" s="476"/>
      <c r="AB59" s="496" t="s">
        <v>495</v>
      </c>
      <c r="AC59" s="497"/>
      <c r="AE59" s="494" t="s">
        <v>104</v>
      </c>
      <c r="AF59" s="496" t="s">
        <v>473</v>
      </c>
      <c r="AG59" s="476"/>
      <c r="AH59" s="496" t="s">
        <v>71</v>
      </c>
      <c r="AI59" s="476"/>
      <c r="AJ59" s="496" t="s">
        <v>494</v>
      </c>
      <c r="AK59" s="476"/>
      <c r="AL59" s="496" t="s">
        <v>495</v>
      </c>
      <c r="AM59" s="497"/>
      <c r="AO59" s="494" t="s">
        <v>104</v>
      </c>
      <c r="AP59" s="498" t="s">
        <v>473</v>
      </c>
      <c r="AQ59" s="476"/>
      <c r="AR59" s="499" t="s">
        <v>71</v>
      </c>
      <c r="AS59" s="476"/>
      <c r="AT59" s="500" t="s">
        <v>494</v>
      </c>
      <c r="AU59" s="476"/>
      <c r="AV59" s="498" t="s">
        <v>495</v>
      </c>
      <c r="AW59" s="497"/>
      <c r="AZ59" s="3">
        <v>1.1</v>
      </c>
      <c r="BA59" s="494" t="s">
        <v>521</v>
      </c>
      <c r="BB59" s="498" t="s">
        <v>473</v>
      </c>
      <c r="BC59" s="476"/>
      <c r="BD59" s="499" t="s">
        <v>71</v>
      </c>
      <c r="BE59" s="476"/>
      <c r="BF59" s="500" t="s">
        <v>494</v>
      </c>
      <c r="BG59" s="476"/>
      <c r="BH59" s="498" t="s">
        <v>495</v>
      </c>
      <c r="BI59" s="497"/>
      <c r="BJ59" s="496" t="s">
        <v>497</v>
      </c>
      <c r="BK59" s="476"/>
      <c r="BL59" s="501" t="s">
        <v>498</v>
      </c>
      <c r="BM59" s="476"/>
    </row>
    <row r="60" ht="15.75" customHeight="1">
      <c r="A60" s="494" t="s">
        <v>521</v>
      </c>
      <c r="B60" s="494" t="s">
        <v>10</v>
      </c>
      <c r="C60" s="502" t="s">
        <v>11</v>
      </c>
      <c r="D60" s="502" t="s">
        <v>10</v>
      </c>
      <c r="E60" s="502" t="s">
        <v>11</v>
      </c>
      <c r="F60" s="494" t="s">
        <v>10</v>
      </c>
      <c r="G60" s="502" t="s">
        <v>11</v>
      </c>
      <c r="H60" s="502" t="s">
        <v>10</v>
      </c>
      <c r="I60" s="502" t="s">
        <v>11</v>
      </c>
      <c r="K60" s="494" t="s">
        <v>521</v>
      </c>
      <c r="L60" s="494" t="s">
        <v>10</v>
      </c>
      <c r="M60" s="502" t="s">
        <v>11</v>
      </c>
      <c r="N60" s="502" t="s">
        <v>10</v>
      </c>
      <c r="O60" s="502" t="s">
        <v>11</v>
      </c>
      <c r="P60" s="494" t="s">
        <v>10</v>
      </c>
      <c r="Q60" s="502" t="s">
        <v>11</v>
      </c>
      <c r="R60" s="502" t="s">
        <v>10</v>
      </c>
      <c r="S60" s="502" t="s">
        <v>11</v>
      </c>
      <c r="U60" s="494" t="s">
        <v>521</v>
      </c>
      <c r="V60" s="494" t="s">
        <v>10</v>
      </c>
      <c r="W60" s="502" t="s">
        <v>11</v>
      </c>
      <c r="X60" s="502" t="s">
        <v>10</v>
      </c>
      <c r="Y60" s="502" t="s">
        <v>11</v>
      </c>
      <c r="Z60" s="494" t="s">
        <v>10</v>
      </c>
      <c r="AA60" s="502" t="s">
        <v>11</v>
      </c>
      <c r="AB60" s="502" t="s">
        <v>10</v>
      </c>
      <c r="AC60" s="502" t="s">
        <v>11</v>
      </c>
      <c r="AE60" s="494" t="s">
        <v>521</v>
      </c>
      <c r="AF60" s="494" t="s">
        <v>10</v>
      </c>
      <c r="AG60" s="502" t="s">
        <v>11</v>
      </c>
      <c r="AH60" s="502" t="s">
        <v>10</v>
      </c>
      <c r="AI60" s="502" t="s">
        <v>11</v>
      </c>
      <c r="AJ60" s="494" t="s">
        <v>10</v>
      </c>
      <c r="AK60" s="502" t="s">
        <v>11</v>
      </c>
      <c r="AL60" s="502" t="s">
        <v>10</v>
      </c>
      <c r="AM60" s="502" t="s">
        <v>11</v>
      </c>
      <c r="AO60" s="494" t="s">
        <v>521</v>
      </c>
      <c r="AP60" s="503" t="s">
        <v>10</v>
      </c>
      <c r="AQ60" s="504" t="s">
        <v>11</v>
      </c>
      <c r="AR60" s="504" t="s">
        <v>10</v>
      </c>
      <c r="AS60" s="504" t="s">
        <v>11</v>
      </c>
      <c r="AT60" s="503" t="s">
        <v>10</v>
      </c>
      <c r="AU60" s="504" t="s">
        <v>11</v>
      </c>
      <c r="AV60" s="504" t="s">
        <v>10</v>
      </c>
      <c r="AW60" s="504" t="s">
        <v>11</v>
      </c>
      <c r="AZ60" s="3">
        <v>1.1</v>
      </c>
      <c r="BA60" s="494" t="s">
        <v>104</v>
      </c>
      <c r="BB60" s="503" t="s">
        <v>10</v>
      </c>
      <c r="BC60" s="504" t="s">
        <v>11</v>
      </c>
      <c r="BD60" s="504" t="s">
        <v>10</v>
      </c>
      <c r="BE60" s="504" t="s">
        <v>11</v>
      </c>
      <c r="BF60" s="503" t="s">
        <v>10</v>
      </c>
      <c r="BG60" s="504" t="s">
        <v>11</v>
      </c>
      <c r="BH60" s="504" t="s">
        <v>10</v>
      </c>
      <c r="BI60" s="504" t="s">
        <v>11</v>
      </c>
      <c r="BJ60" s="502" t="s">
        <v>10</v>
      </c>
      <c r="BK60" s="502" t="s">
        <v>11</v>
      </c>
      <c r="BL60" s="502" t="s">
        <v>10</v>
      </c>
      <c r="BM60" s="502" t="s">
        <v>11</v>
      </c>
    </row>
    <row r="61" ht="15.75" customHeight="1">
      <c r="A61" s="494">
        <v>100.0</v>
      </c>
      <c r="B61" s="36">
        <v>12.0</v>
      </c>
      <c r="C61" s="36">
        <v>12.0</v>
      </c>
      <c r="D61" s="36">
        <v>12.0</v>
      </c>
      <c r="E61" s="36">
        <v>12.0</v>
      </c>
      <c r="F61" s="36">
        <v>12.0</v>
      </c>
      <c r="G61" s="36">
        <v>12.0</v>
      </c>
      <c r="H61" s="36">
        <v>12.0</v>
      </c>
      <c r="I61" s="36">
        <v>12.0</v>
      </c>
      <c r="K61" s="494">
        <v>100.0</v>
      </c>
      <c r="L61" s="506">
        <f>Bajadas!E5</f>
        <v>202610.4519</v>
      </c>
      <c r="M61" s="506">
        <f>Bajadas!F5</f>
        <v>202842.5019</v>
      </c>
      <c r="N61" s="506">
        <f t="shared" ref="N61:N65" si="149">$L61</f>
        <v>202610.4519</v>
      </c>
      <c r="O61" s="506">
        <f t="shared" ref="O61:O65" si="150">$M61</f>
        <v>202842.5019</v>
      </c>
      <c r="P61" s="506">
        <f t="shared" ref="P61:P65" si="151">$L61</f>
        <v>202610.4519</v>
      </c>
      <c r="Q61" s="506">
        <f t="shared" ref="Q61:Q65" si="152">$M61</f>
        <v>202842.5019</v>
      </c>
      <c r="R61" s="506">
        <f t="shared" ref="R61:R65" si="153">$L61</f>
        <v>202610.4519</v>
      </c>
      <c r="S61" s="506">
        <f t="shared" ref="S61:S65" si="154">$M61</f>
        <v>202842.5019</v>
      </c>
      <c r="T61" s="36"/>
      <c r="U61" s="494">
        <v>100.0</v>
      </c>
      <c r="V61" s="36"/>
      <c r="W61" s="36"/>
      <c r="X61" s="20">
        <f t="shared" ref="X61:AC61" si="145">X47</f>
        <v>136.2627045</v>
      </c>
      <c r="Y61" s="20" t="str">
        <f t="shared" si="145"/>
        <v/>
      </c>
      <c r="Z61" s="20">
        <f t="shared" si="145"/>
        <v>163.5152453</v>
      </c>
      <c r="AA61" s="20" t="str">
        <f t="shared" si="145"/>
        <v/>
      </c>
      <c r="AB61" s="20">
        <f t="shared" si="145"/>
        <v>163.5152453</v>
      </c>
      <c r="AC61" s="20">
        <f t="shared" si="145"/>
        <v>327.0304907</v>
      </c>
      <c r="AE61" s="494">
        <v>100.0</v>
      </c>
      <c r="AF61" s="32">
        <v>400.0</v>
      </c>
      <c r="AG61" s="32">
        <v>400.0</v>
      </c>
      <c r="AH61" s="32">
        <v>400.0</v>
      </c>
      <c r="AI61" s="32">
        <v>400.0</v>
      </c>
      <c r="AJ61" s="32">
        <v>400.0</v>
      </c>
      <c r="AK61" s="32">
        <v>400.0</v>
      </c>
      <c r="AL61" s="32">
        <v>400.0</v>
      </c>
      <c r="AM61" s="32">
        <v>400.0</v>
      </c>
      <c r="AO61" s="494">
        <v>100.0</v>
      </c>
      <c r="AP61" s="507">
        <f t="shared" ref="AP61:AW61" si="146">(B61*L61)+V61*B61+AF61</f>
        <v>2431725.423</v>
      </c>
      <c r="AQ61" s="507">
        <f t="shared" si="146"/>
        <v>2434510.023</v>
      </c>
      <c r="AR61" s="508">
        <f t="shared" si="146"/>
        <v>2433360.575</v>
      </c>
      <c r="AS61" s="508">
        <f t="shared" si="146"/>
        <v>2434510.023</v>
      </c>
      <c r="AT61" s="509">
        <f t="shared" si="146"/>
        <v>2433687.605</v>
      </c>
      <c r="AU61" s="509">
        <f t="shared" si="146"/>
        <v>2434510.023</v>
      </c>
      <c r="AV61" s="510">
        <f t="shared" si="146"/>
        <v>2433687.605</v>
      </c>
      <c r="AW61" s="510">
        <f t="shared" si="146"/>
        <v>2438434.388</v>
      </c>
      <c r="AZ61" s="3">
        <v>1.1</v>
      </c>
      <c r="BA61" s="494">
        <v>100.0</v>
      </c>
      <c r="BB61" s="507">
        <f t="shared" ref="BB61:BB65" si="157">AP61*AZ47</f>
        <v>2674897.965</v>
      </c>
      <c r="BC61" s="507">
        <f t="shared" ref="BC61:BC65" si="158">AQ61*AZ47</f>
        <v>2677961.025</v>
      </c>
      <c r="BD61" s="508">
        <f t="shared" ref="BD61:BD65" si="159">AR61*AZ48</f>
        <v>2676696.632</v>
      </c>
      <c r="BE61" s="508">
        <f t="shared" ref="BE61:BE65" si="160">AS61*AZ47</f>
        <v>2677961.025</v>
      </c>
      <c r="BF61" s="509">
        <f>AT61*AZ48</f>
        <v>2677056.366</v>
      </c>
      <c r="BG61" s="509">
        <f>AU61*AZ48</f>
        <v>2677961.025</v>
      </c>
      <c r="BH61" s="510">
        <f t="shared" ref="BH61:BH65" si="161">AV61*AZ48</f>
        <v>2677056.366</v>
      </c>
      <c r="BI61" s="510">
        <f t="shared" ref="BI61:BI65" si="162">AW61*AZ48</f>
        <v>2682277.827</v>
      </c>
      <c r="BJ61" s="108">
        <f t="shared" ref="BJ61:BK61" si="147">CEILING(BH61*1.15,1)</f>
        <v>3078615</v>
      </c>
      <c r="BK61" s="108">
        <f t="shared" si="147"/>
        <v>3084620</v>
      </c>
      <c r="BL61" s="511">
        <f t="shared" ref="BL61:BM61" si="148">BH61*1.4</f>
        <v>3747878.912</v>
      </c>
      <c r="BM61" s="511">
        <f t="shared" si="148"/>
        <v>3755188.958</v>
      </c>
    </row>
    <row r="62" ht="15.75" customHeight="1">
      <c r="A62" s="494">
        <v>200.0</v>
      </c>
      <c r="B62" s="36">
        <v>23.0</v>
      </c>
      <c r="C62" s="36">
        <v>23.0</v>
      </c>
      <c r="D62" s="36">
        <v>23.0</v>
      </c>
      <c r="E62" s="36">
        <v>23.0</v>
      </c>
      <c r="F62" s="36">
        <v>23.0</v>
      </c>
      <c r="G62" s="36">
        <v>23.0</v>
      </c>
      <c r="H62" s="36">
        <v>23.0</v>
      </c>
      <c r="I62" s="36">
        <v>23.0</v>
      </c>
      <c r="K62" s="494">
        <v>200.0</v>
      </c>
      <c r="L62" s="506">
        <f>Bajadas!E5</f>
        <v>202610.4519</v>
      </c>
      <c r="M62" s="506">
        <f>Bajadas!F5</f>
        <v>202842.5019</v>
      </c>
      <c r="N62" s="506">
        <f t="shared" si="149"/>
        <v>202610.4519</v>
      </c>
      <c r="O62" s="506">
        <f t="shared" si="150"/>
        <v>202842.5019</v>
      </c>
      <c r="P62" s="506">
        <f t="shared" si="151"/>
        <v>202610.4519</v>
      </c>
      <c r="Q62" s="506">
        <f t="shared" si="152"/>
        <v>202842.5019</v>
      </c>
      <c r="R62" s="506">
        <f t="shared" si="153"/>
        <v>202610.4519</v>
      </c>
      <c r="S62" s="506">
        <f t="shared" si="154"/>
        <v>202842.5019</v>
      </c>
      <c r="T62" s="36"/>
      <c r="U62" s="494">
        <v>200.0</v>
      </c>
      <c r="V62" s="36"/>
      <c r="W62" s="36"/>
      <c r="X62" s="20">
        <f t="shared" ref="X62:AC62" si="155">X48</f>
        <v>136.2627045</v>
      </c>
      <c r="Y62" s="20" t="str">
        <f t="shared" si="155"/>
        <v/>
      </c>
      <c r="Z62" s="20">
        <f t="shared" si="155"/>
        <v>151.2516019</v>
      </c>
      <c r="AA62" s="20" t="str">
        <f t="shared" si="155"/>
        <v/>
      </c>
      <c r="AB62" s="20">
        <f t="shared" si="155"/>
        <v>163.5152453</v>
      </c>
      <c r="AC62" s="20">
        <f t="shared" si="155"/>
        <v>327.0304907</v>
      </c>
      <c r="AE62" s="494">
        <v>200.0</v>
      </c>
      <c r="AF62" s="32">
        <v>500.0</v>
      </c>
      <c r="AG62" s="32">
        <v>500.0</v>
      </c>
      <c r="AH62" s="32">
        <v>500.0</v>
      </c>
      <c r="AI62" s="32">
        <v>500.0</v>
      </c>
      <c r="AJ62" s="32">
        <v>500.0</v>
      </c>
      <c r="AK62" s="32">
        <v>500.0</v>
      </c>
      <c r="AL62" s="32">
        <v>500.0</v>
      </c>
      <c r="AM62" s="32">
        <v>500.0</v>
      </c>
      <c r="AO62" s="494">
        <v>200.0</v>
      </c>
      <c r="AP62" s="507">
        <f t="shared" ref="AP62:AW62" si="156">(B62*L62)+V62*B62+AF62</f>
        <v>4660540.393</v>
      </c>
      <c r="AQ62" s="507">
        <f t="shared" si="156"/>
        <v>4665877.543</v>
      </c>
      <c r="AR62" s="508">
        <f t="shared" si="156"/>
        <v>4663674.435</v>
      </c>
      <c r="AS62" s="508">
        <f t="shared" si="156"/>
        <v>4665877.543</v>
      </c>
      <c r="AT62" s="509">
        <f t="shared" si="156"/>
        <v>4664019.18</v>
      </c>
      <c r="AU62" s="509">
        <f t="shared" si="156"/>
        <v>4665877.543</v>
      </c>
      <c r="AV62" s="510">
        <f t="shared" si="156"/>
        <v>4664301.244</v>
      </c>
      <c r="AW62" s="510">
        <f t="shared" si="156"/>
        <v>4673399.244</v>
      </c>
      <c r="AZ62" s="3">
        <v>1.1</v>
      </c>
      <c r="BA62" s="494">
        <v>200.0</v>
      </c>
      <c r="BB62" s="507">
        <f t="shared" si="157"/>
        <v>5126594.432</v>
      </c>
      <c r="BC62" s="507">
        <f t="shared" si="158"/>
        <v>5132465.297</v>
      </c>
      <c r="BD62" s="508">
        <f t="shared" si="159"/>
        <v>5130041.879</v>
      </c>
      <c r="BE62" s="508">
        <f t="shared" si="160"/>
        <v>5132465.297</v>
      </c>
      <c r="BF62" s="509">
        <f t="shared" ref="BF62:BF65" si="167">(R62*AB62)+AL62*R62+AV62</f>
        <v>139099424.9</v>
      </c>
      <c r="BG62" s="509">
        <f t="shared" ref="BG62:BG65" si="168">(Q62*AC62)+AL62*Q62+AW62</f>
        <v>172430333.1</v>
      </c>
      <c r="BH62" s="510">
        <f t="shared" si="161"/>
        <v>5130731.368</v>
      </c>
      <c r="BI62" s="510">
        <f t="shared" si="162"/>
        <v>5140739.169</v>
      </c>
      <c r="BJ62" s="108">
        <f t="shared" ref="BJ62:BK62" si="163">CEILING(BH62*1.15,1)</f>
        <v>5900342</v>
      </c>
      <c r="BK62" s="108">
        <f t="shared" si="163"/>
        <v>5911851</v>
      </c>
      <c r="BL62" s="511">
        <f t="shared" ref="BL62:BM62" si="164">BH62*1.4</f>
        <v>7183023.915</v>
      </c>
      <c r="BM62" s="511">
        <f t="shared" si="164"/>
        <v>7197034.836</v>
      </c>
    </row>
    <row r="63" ht="15.75" customHeight="1">
      <c r="A63" s="494">
        <v>300.0</v>
      </c>
      <c r="B63" s="36">
        <v>34.0</v>
      </c>
      <c r="C63" s="36">
        <v>34.0</v>
      </c>
      <c r="D63" s="36">
        <v>34.0</v>
      </c>
      <c r="E63" s="36">
        <v>34.0</v>
      </c>
      <c r="F63" s="36">
        <v>34.0</v>
      </c>
      <c r="G63" s="36">
        <v>34.0</v>
      </c>
      <c r="H63" s="36">
        <v>34.0</v>
      </c>
      <c r="I63" s="36">
        <v>34.0</v>
      </c>
      <c r="K63" s="494">
        <v>300.0</v>
      </c>
      <c r="L63" s="506">
        <f>Bajadas!E6</f>
        <v>196651.3209</v>
      </c>
      <c r="M63" s="506">
        <f>Bajadas!F6</f>
        <v>196876.5459</v>
      </c>
      <c r="N63" s="506">
        <f t="shared" si="149"/>
        <v>196651.3209</v>
      </c>
      <c r="O63" s="506">
        <f t="shared" si="150"/>
        <v>196876.5459</v>
      </c>
      <c r="P63" s="506">
        <f t="shared" si="151"/>
        <v>196651.3209</v>
      </c>
      <c r="Q63" s="506">
        <f t="shared" si="152"/>
        <v>196876.5459</v>
      </c>
      <c r="R63" s="506">
        <f t="shared" si="153"/>
        <v>196651.3209</v>
      </c>
      <c r="S63" s="506">
        <f t="shared" si="154"/>
        <v>196876.5459</v>
      </c>
      <c r="T63" s="36"/>
      <c r="U63" s="494">
        <v>300.0</v>
      </c>
      <c r="V63" s="36"/>
      <c r="W63" s="36"/>
      <c r="X63" s="20">
        <f t="shared" ref="X63:AC63" si="165">X49</f>
        <v>115.8232988</v>
      </c>
      <c r="Y63" s="20" t="str">
        <f t="shared" si="165"/>
        <v/>
      </c>
      <c r="Z63" s="20">
        <f t="shared" si="165"/>
        <v>138.9879585</v>
      </c>
      <c r="AA63" s="20" t="str">
        <f t="shared" si="165"/>
        <v/>
      </c>
      <c r="AB63" s="20">
        <f t="shared" si="165"/>
        <v>151.2516019</v>
      </c>
      <c r="AC63" s="20">
        <f t="shared" si="165"/>
        <v>302.5032039</v>
      </c>
      <c r="AE63" s="494">
        <v>300.0</v>
      </c>
      <c r="AF63" s="32">
        <v>700.0</v>
      </c>
      <c r="AG63" s="32">
        <v>700.0</v>
      </c>
      <c r="AH63" s="32">
        <v>700.0</v>
      </c>
      <c r="AI63" s="32">
        <v>700.0</v>
      </c>
      <c r="AJ63" s="32">
        <v>700.0</v>
      </c>
      <c r="AK63" s="32">
        <v>700.0</v>
      </c>
      <c r="AL63" s="32">
        <v>700.0</v>
      </c>
      <c r="AM63" s="32">
        <v>700.0</v>
      </c>
      <c r="AO63" s="494">
        <v>300.0</v>
      </c>
      <c r="AP63" s="507">
        <f t="shared" ref="AP63:AW63" si="166">(B63*L63)+V63*B63+AF63</f>
        <v>6686844.912</v>
      </c>
      <c r="AQ63" s="507">
        <f t="shared" si="166"/>
        <v>6694502.562</v>
      </c>
      <c r="AR63" s="508">
        <f t="shared" si="166"/>
        <v>6690782.904</v>
      </c>
      <c r="AS63" s="508">
        <f t="shared" si="166"/>
        <v>6694502.562</v>
      </c>
      <c r="AT63" s="509">
        <f t="shared" si="166"/>
        <v>6691570.502</v>
      </c>
      <c r="AU63" s="509">
        <f t="shared" si="166"/>
        <v>6694502.562</v>
      </c>
      <c r="AV63" s="510">
        <f t="shared" si="166"/>
        <v>6691987.466</v>
      </c>
      <c r="AW63" s="510">
        <f t="shared" si="166"/>
        <v>6704787.671</v>
      </c>
      <c r="AZ63" s="3">
        <v>1.1</v>
      </c>
      <c r="BA63" s="494">
        <v>300.0</v>
      </c>
      <c r="BB63" s="507">
        <f t="shared" si="157"/>
        <v>7355529.403</v>
      </c>
      <c r="BC63" s="507">
        <f t="shared" si="158"/>
        <v>7363952.818</v>
      </c>
      <c r="BD63" s="508">
        <f t="shared" si="159"/>
        <v>7359861.194</v>
      </c>
      <c r="BE63" s="508">
        <f t="shared" si="160"/>
        <v>7363952.818</v>
      </c>
      <c r="BF63" s="509">
        <f t="shared" si="167"/>
        <v>174091739.4</v>
      </c>
      <c r="BG63" s="509">
        <f t="shared" si="168"/>
        <v>204074155.7</v>
      </c>
      <c r="BH63" s="510">
        <f t="shared" si="161"/>
        <v>7361186.213</v>
      </c>
      <c r="BI63" s="510">
        <f t="shared" si="162"/>
        <v>7375266.438</v>
      </c>
      <c r="BJ63" s="108">
        <f t="shared" ref="BJ63:BK63" si="169">CEILING(BH63*1.15,1)</f>
        <v>8465365</v>
      </c>
      <c r="BK63" s="108">
        <f t="shared" si="169"/>
        <v>8481557</v>
      </c>
      <c r="BL63" s="511">
        <f t="shared" ref="BL63:BM63" si="170">BH63*1.4</f>
        <v>10305660.7</v>
      </c>
      <c r="BM63" s="511">
        <f t="shared" si="170"/>
        <v>10325373.01</v>
      </c>
    </row>
    <row r="64" ht="15.75" customHeight="1">
      <c r="A64" s="494">
        <v>500.0</v>
      </c>
      <c r="B64" s="36">
        <v>56.0</v>
      </c>
      <c r="C64" s="36">
        <v>56.0</v>
      </c>
      <c r="D64" s="36">
        <v>56.0</v>
      </c>
      <c r="E64" s="36">
        <v>56.0</v>
      </c>
      <c r="F64" s="36">
        <v>56.0</v>
      </c>
      <c r="G64" s="36">
        <v>56.0</v>
      </c>
      <c r="H64" s="36">
        <v>56.0</v>
      </c>
      <c r="I64" s="36">
        <v>56.0</v>
      </c>
      <c r="K64" s="494">
        <v>500.0</v>
      </c>
      <c r="L64" s="506">
        <f>Bajadas!E7</f>
        <v>190692.19</v>
      </c>
      <c r="M64" s="506">
        <f>Bajadas!F7</f>
        <v>190910.59</v>
      </c>
      <c r="N64" s="506">
        <f t="shared" si="149"/>
        <v>190692.19</v>
      </c>
      <c r="O64" s="506">
        <f t="shared" si="150"/>
        <v>190910.59</v>
      </c>
      <c r="P64" s="506">
        <f t="shared" si="151"/>
        <v>190692.19</v>
      </c>
      <c r="Q64" s="506">
        <f t="shared" si="152"/>
        <v>190910.59</v>
      </c>
      <c r="R64" s="506">
        <f t="shared" si="153"/>
        <v>190692.19</v>
      </c>
      <c r="S64" s="506">
        <f t="shared" si="154"/>
        <v>190910.59</v>
      </c>
      <c r="T64" s="36"/>
      <c r="U64" s="494">
        <v>500.0</v>
      </c>
      <c r="V64" s="36"/>
      <c r="W64" s="36"/>
      <c r="X64" s="20">
        <f t="shared" ref="X64:AC64" si="171">X50</f>
        <v>105.603596</v>
      </c>
      <c r="Y64" s="20" t="str">
        <f t="shared" si="171"/>
        <v/>
      </c>
      <c r="Z64" s="20">
        <f t="shared" si="171"/>
        <v>126.7243151</v>
      </c>
      <c r="AA64" s="20" t="str">
        <f t="shared" si="171"/>
        <v/>
      </c>
      <c r="AB64" s="20">
        <f t="shared" si="171"/>
        <v>151.2516019</v>
      </c>
      <c r="AC64" s="20">
        <f t="shared" si="171"/>
        <v>302.5032039</v>
      </c>
      <c r="AE64" s="494">
        <v>500.0</v>
      </c>
      <c r="AF64" s="32">
        <v>1000.0</v>
      </c>
      <c r="AG64" s="32">
        <v>1000.0</v>
      </c>
      <c r="AH64" s="32">
        <v>1000.0</v>
      </c>
      <c r="AI64" s="32">
        <v>1000.0</v>
      </c>
      <c r="AJ64" s="32">
        <v>1000.0</v>
      </c>
      <c r="AK64" s="32">
        <v>1000.0</v>
      </c>
      <c r="AL64" s="32">
        <v>1000.0</v>
      </c>
      <c r="AM64" s="32">
        <v>1000.0</v>
      </c>
      <c r="AO64" s="494">
        <v>500.0</v>
      </c>
      <c r="AP64" s="507">
        <f t="shared" ref="AP64:AW64" si="172">(B64*L64)+V64*B64+AF64</f>
        <v>10679762.64</v>
      </c>
      <c r="AQ64" s="507">
        <f t="shared" si="172"/>
        <v>10691993.04</v>
      </c>
      <c r="AR64" s="508">
        <f t="shared" si="172"/>
        <v>10685676.44</v>
      </c>
      <c r="AS64" s="508">
        <f t="shared" si="172"/>
        <v>10691993.04</v>
      </c>
      <c r="AT64" s="509">
        <f t="shared" si="172"/>
        <v>10686859.2</v>
      </c>
      <c r="AU64" s="509">
        <f t="shared" si="172"/>
        <v>10691993.04</v>
      </c>
      <c r="AV64" s="510">
        <f t="shared" si="172"/>
        <v>10688232.73</v>
      </c>
      <c r="AW64" s="510">
        <f t="shared" si="172"/>
        <v>10708933.22</v>
      </c>
      <c r="AZ64" s="3">
        <v>1.1</v>
      </c>
      <c r="BA64" s="494">
        <v>500.0</v>
      </c>
      <c r="BB64" s="507">
        <f t="shared" si="157"/>
        <v>11747738.9</v>
      </c>
      <c r="BC64" s="507">
        <f t="shared" si="158"/>
        <v>11761192.34</v>
      </c>
      <c r="BD64" s="508">
        <f t="shared" si="159"/>
        <v>11754244.09</v>
      </c>
      <c r="BE64" s="508">
        <f t="shared" si="160"/>
        <v>11761192.34</v>
      </c>
      <c r="BF64" s="509">
        <f t="shared" si="167"/>
        <v>230222921.9</v>
      </c>
      <c r="BG64" s="509">
        <f t="shared" si="168"/>
        <v>259370588.4</v>
      </c>
      <c r="BH64" s="510">
        <f t="shared" si="161"/>
        <v>11757056</v>
      </c>
      <c r="BI64" s="510">
        <f t="shared" si="162"/>
        <v>11779826.54</v>
      </c>
      <c r="BJ64" s="108">
        <f t="shared" ref="BJ64:BK64" si="173">CEILING(BH64*1.15,1)</f>
        <v>13520615</v>
      </c>
      <c r="BK64" s="108">
        <f t="shared" si="173"/>
        <v>13546801</v>
      </c>
      <c r="BL64" s="511">
        <f t="shared" ref="BL64:BM64" si="174">BH64*1.4</f>
        <v>16459878.4</v>
      </c>
      <c r="BM64" s="511">
        <f t="shared" si="174"/>
        <v>16491757.16</v>
      </c>
    </row>
    <row r="65" ht="15.75" customHeight="1">
      <c r="A65" s="494">
        <v>1000.0</v>
      </c>
      <c r="B65" s="36">
        <v>112.0</v>
      </c>
      <c r="C65" s="36">
        <v>112.0</v>
      </c>
      <c r="D65" s="36">
        <v>112.0</v>
      </c>
      <c r="E65" s="36">
        <v>112.0</v>
      </c>
      <c r="F65" s="36">
        <v>112.0</v>
      </c>
      <c r="G65" s="36">
        <v>112.0</v>
      </c>
      <c r="H65" s="36">
        <v>112.0</v>
      </c>
      <c r="I65" s="36">
        <v>112.0</v>
      </c>
      <c r="K65" s="494">
        <v>1000.0</v>
      </c>
      <c r="L65" s="506">
        <f>Bajadas!E8</f>
        <v>184733.0591</v>
      </c>
      <c r="M65" s="506">
        <f>Bajadas!F8</f>
        <v>184944.6341</v>
      </c>
      <c r="N65" s="506">
        <f t="shared" si="149"/>
        <v>184733.0591</v>
      </c>
      <c r="O65" s="506">
        <f t="shared" si="150"/>
        <v>184944.6341</v>
      </c>
      <c r="P65" s="506">
        <f t="shared" si="151"/>
        <v>184733.0591</v>
      </c>
      <c r="Q65" s="506">
        <f t="shared" si="152"/>
        <v>184944.6341</v>
      </c>
      <c r="R65" s="506">
        <f t="shared" si="153"/>
        <v>184733.0591</v>
      </c>
      <c r="S65" s="506">
        <f t="shared" si="154"/>
        <v>184944.6341</v>
      </c>
      <c r="T65" s="36"/>
      <c r="U65" s="494">
        <v>1000.0</v>
      </c>
      <c r="V65" s="36"/>
      <c r="W65" s="36"/>
      <c r="X65" s="20">
        <f t="shared" ref="X65:AC65" si="175">X51</f>
        <v>98.79046073</v>
      </c>
      <c r="Y65" s="20" t="str">
        <f t="shared" si="175"/>
        <v/>
      </c>
      <c r="Z65" s="20">
        <f t="shared" si="175"/>
        <v>118.5485529</v>
      </c>
      <c r="AA65" s="20" t="str">
        <f t="shared" si="175"/>
        <v/>
      </c>
      <c r="AB65" s="20">
        <f t="shared" si="175"/>
        <v>151.2516019</v>
      </c>
      <c r="AC65" s="20">
        <f t="shared" si="175"/>
        <v>302.5032039</v>
      </c>
      <c r="AE65" s="494">
        <v>1000.0</v>
      </c>
      <c r="AF65" s="32">
        <v>1600.0</v>
      </c>
      <c r="AG65" s="32">
        <v>1600.0</v>
      </c>
      <c r="AH65" s="32">
        <v>1600.0</v>
      </c>
      <c r="AI65" s="32">
        <v>1600.0</v>
      </c>
      <c r="AJ65" s="32">
        <v>1600.0</v>
      </c>
      <c r="AK65" s="32">
        <v>1600.0</v>
      </c>
      <c r="AL65" s="32">
        <v>1600.0</v>
      </c>
      <c r="AM65" s="32">
        <v>1600.0</v>
      </c>
      <c r="AO65" s="494">
        <v>1000.0</v>
      </c>
      <c r="AP65" s="507">
        <f t="shared" ref="AP65:AW65" si="176">(B65*L65)+V65*B65+AF65</f>
        <v>20691702.62</v>
      </c>
      <c r="AQ65" s="507">
        <f t="shared" si="176"/>
        <v>20715399.02</v>
      </c>
      <c r="AR65" s="508">
        <f t="shared" si="176"/>
        <v>20702767.15</v>
      </c>
      <c r="AS65" s="508">
        <f t="shared" si="176"/>
        <v>20715399.02</v>
      </c>
      <c r="AT65" s="509">
        <f t="shared" si="176"/>
        <v>20704980.05</v>
      </c>
      <c r="AU65" s="509">
        <f t="shared" si="176"/>
        <v>20715399.02</v>
      </c>
      <c r="AV65" s="510">
        <f t="shared" si="176"/>
        <v>20708642.79</v>
      </c>
      <c r="AW65" s="510">
        <f t="shared" si="176"/>
        <v>20749279.37</v>
      </c>
      <c r="AZ65" s="3">
        <v>1.1</v>
      </c>
      <c r="BA65" s="494">
        <v>1000.0</v>
      </c>
      <c r="BB65" s="507">
        <f t="shared" si="157"/>
        <v>22760872.88</v>
      </c>
      <c r="BC65" s="507">
        <f t="shared" si="158"/>
        <v>22786938.92</v>
      </c>
      <c r="BD65" s="508">
        <f t="shared" si="159"/>
        <v>22773043.86</v>
      </c>
      <c r="BE65" s="508">
        <f t="shared" si="160"/>
        <v>22786938.92</v>
      </c>
      <c r="BF65" s="509">
        <f t="shared" si="167"/>
        <v>344222708.4</v>
      </c>
      <c r="BG65" s="509">
        <f t="shared" si="168"/>
        <v>372607038.2</v>
      </c>
      <c r="BH65" s="510">
        <f t="shared" si="161"/>
        <v>22779507.07</v>
      </c>
      <c r="BI65" s="510">
        <f t="shared" si="162"/>
        <v>22824207.31</v>
      </c>
      <c r="BJ65" s="108">
        <f t="shared" ref="BJ65:BK65" si="177">CEILING(BH65*1.15,1)</f>
        <v>26196434</v>
      </c>
      <c r="BK65" s="108">
        <f t="shared" si="177"/>
        <v>26247839</v>
      </c>
      <c r="BL65" s="511">
        <f t="shared" ref="BL65:BM65" si="178">BH65*1.4</f>
        <v>31891309.9</v>
      </c>
      <c r="BM65" s="511">
        <f t="shared" si="178"/>
        <v>31953890.24</v>
      </c>
    </row>
    <row r="66" ht="15.75" customHeight="1"/>
    <row r="67" ht="15.75" customHeight="1">
      <c r="BA67" s="494" t="s">
        <v>517</v>
      </c>
    </row>
    <row r="68" ht="15.75" customHeight="1">
      <c r="A68" s="3" t="s">
        <v>522</v>
      </c>
      <c r="BA68" s="3" t="s">
        <v>523</v>
      </c>
    </row>
    <row r="69" ht="15.75" customHeight="1">
      <c r="A69" s="116" t="s">
        <v>500</v>
      </c>
      <c r="BA69" s="3" t="s">
        <v>518</v>
      </c>
    </row>
    <row r="70" ht="15.75" customHeight="1">
      <c r="A70" s="3" t="s">
        <v>518</v>
      </c>
      <c r="D70" s="488" t="s">
        <v>519</v>
      </c>
      <c r="E70" s="489"/>
      <c r="F70" s="489"/>
      <c r="G70" s="489"/>
      <c r="H70" s="489"/>
      <c r="I70" s="489"/>
      <c r="L70" s="490" t="s">
        <v>490</v>
      </c>
      <c r="M70" s="491"/>
      <c r="N70" s="491"/>
      <c r="O70" s="491"/>
      <c r="P70" s="491"/>
      <c r="Q70" s="491"/>
      <c r="R70" s="491"/>
      <c r="S70" s="492"/>
      <c r="V70" s="490" t="s">
        <v>491</v>
      </c>
      <c r="W70" s="491"/>
      <c r="X70" s="491"/>
      <c r="Y70" s="491"/>
      <c r="Z70" s="491"/>
      <c r="AA70" s="491"/>
      <c r="AB70" s="491"/>
      <c r="AC70" s="492"/>
      <c r="AE70" s="490" t="s">
        <v>492</v>
      </c>
      <c r="AF70" s="491"/>
      <c r="AG70" s="491"/>
      <c r="AH70" s="491"/>
      <c r="AI70" s="491"/>
      <c r="AJ70" s="491"/>
      <c r="AK70" s="491"/>
      <c r="AL70" s="491"/>
      <c r="AM70" s="492"/>
      <c r="AO70" s="490" t="s">
        <v>504</v>
      </c>
      <c r="AP70" s="491"/>
      <c r="AQ70" s="491"/>
      <c r="AR70" s="491"/>
      <c r="AS70" s="491"/>
      <c r="AT70" s="491"/>
      <c r="AU70" s="491"/>
      <c r="AV70" s="491"/>
      <c r="AW70" s="492"/>
      <c r="BA70" s="514" t="s">
        <v>520</v>
      </c>
      <c r="BB70" s="515"/>
      <c r="BC70" s="515"/>
      <c r="BD70" s="515"/>
      <c r="BE70" s="515"/>
      <c r="BF70" s="515"/>
      <c r="BG70" s="515"/>
      <c r="BH70" s="515"/>
      <c r="BI70" s="476"/>
    </row>
    <row r="71" ht="15.75" customHeight="1">
      <c r="A71" s="494" t="s">
        <v>104</v>
      </c>
      <c r="B71" s="496" t="s">
        <v>473</v>
      </c>
      <c r="C71" s="476"/>
      <c r="D71" s="496" t="s">
        <v>71</v>
      </c>
      <c r="E71" s="476"/>
      <c r="F71" s="496" t="s">
        <v>494</v>
      </c>
      <c r="G71" s="476"/>
      <c r="H71" s="496" t="s">
        <v>495</v>
      </c>
      <c r="I71" s="497"/>
      <c r="K71" s="494" t="s">
        <v>104</v>
      </c>
      <c r="L71" s="496" t="s">
        <v>473</v>
      </c>
      <c r="M71" s="476"/>
      <c r="N71" s="496" t="s">
        <v>71</v>
      </c>
      <c r="O71" s="476"/>
      <c r="P71" s="496" t="s">
        <v>494</v>
      </c>
      <c r="Q71" s="476"/>
      <c r="R71" s="496" t="s">
        <v>495</v>
      </c>
      <c r="S71" s="497"/>
      <c r="U71" s="494" t="s">
        <v>104</v>
      </c>
      <c r="V71" s="496" t="s">
        <v>473</v>
      </c>
      <c r="W71" s="476"/>
      <c r="X71" s="496" t="s">
        <v>71</v>
      </c>
      <c r="Y71" s="476"/>
      <c r="Z71" s="496" t="s">
        <v>494</v>
      </c>
      <c r="AA71" s="476"/>
      <c r="AB71" s="496" t="s">
        <v>495</v>
      </c>
      <c r="AC71" s="497"/>
      <c r="AE71" s="494" t="s">
        <v>104</v>
      </c>
      <c r="AF71" s="496" t="s">
        <v>473</v>
      </c>
      <c r="AG71" s="476"/>
      <c r="AH71" s="496" t="s">
        <v>71</v>
      </c>
      <c r="AI71" s="476"/>
      <c r="AJ71" s="496" t="s">
        <v>494</v>
      </c>
      <c r="AK71" s="476"/>
      <c r="AL71" s="496" t="s">
        <v>495</v>
      </c>
      <c r="AM71" s="497"/>
      <c r="AO71" s="494" t="s">
        <v>104</v>
      </c>
      <c r="AP71" s="498" t="s">
        <v>473</v>
      </c>
      <c r="AQ71" s="476"/>
      <c r="AR71" s="499" t="s">
        <v>71</v>
      </c>
      <c r="AS71" s="476"/>
      <c r="AT71" s="500" t="s">
        <v>494</v>
      </c>
      <c r="AU71" s="476"/>
      <c r="AV71" s="498" t="s">
        <v>495</v>
      </c>
      <c r="AW71" s="497"/>
      <c r="BA71" s="494" t="s">
        <v>521</v>
      </c>
      <c r="BB71" s="498" t="s">
        <v>473</v>
      </c>
      <c r="BC71" s="476"/>
      <c r="BD71" s="499" t="s">
        <v>71</v>
      </c>
      <c r="BE71" s="476"/>
      <c r="BF71" s="500" t="s">
        <v>494</v>
      </c>
      <c r="BG71" s="476"/>
      <c r="BH71" s="498" t="s">
        <v>495</v>
      </c>
      <c r="BI71" s="497"/>
      <c r="BJ71" s="496" t="s">
        <v>497</v>
      </c>
      <c r="BK71" s="476"/>
      <c r="BL71" s="501" t="s">
        <v>498</v>
      </c>
      <c r="BM71" s="476"/>
    </row>
    <row r="72" ht="15.75" customHeight="1">
      <c r="A72" s="494" t="s">
        <v>521</v>
      </c>
      <c r="B72" s="494" t="s">
        <v>10</v>
      </c>
      <c r="C72" s="502" t="s">
        <v>11</v>
      </c>
      <c r="D72" s="502" t="s">
        <v>10</v>
      </c>
      <c r="E72" s="502" t="s">
        <v>11</v>
      </c>
      <c r="F72" s="494" t="s">
        <v>10</v>
      </c>
      <c r="G72" s="502" t="s">
        <v>11</v>
      </c>
      <c r="H72" s="502" t="s">
        <v>10</v>
      </c>
      <c r="I72" s="502" t="s">
        <v>11</v>
      </c>
      <c r="K72" s="494" t="s">
        <v>521</v>
      </c>
      <c r="L72" s="494" t="s">
        <v>10</v>
      </c>
      <c r="M72" s="502" t="s">
        <v>11</v>
      </c>
      <c r="N72" s="502" t="s">
        <v>10</v>
      </c>
      <c r="O72" s="502" t="s">
        <v>11</v>
      </c>
      <c r="P72" s="494" t="s">
        <v>10</v>
      </c>
      <c r="Q72" s="502" t="s">
        <v>11</v>
      </c>
      <c r="R72" s="502" t="s">
        <v>10</v>
      </c>
      <c r="S72" s="502" t="s">
        <v>11</v>
      </c>
      <c r="U72" s="494" t="s">
        <v>521</v>
      </c>
      <c r="V72" s="494" t="s">
        <v>10</v>
      </c>
      <c r="W72" s="502" t="s">
        <v>11</v>
      </c>
      <c r="X72" s="502" t="s">
        <v>10</v>
      </c>
      <c r="Y72" s="502" t="s">
        <v>11</v>
      </c>
      <c r="Z72" s="494" t="s">
        <v>10</v>
      </c>
      <c r="AA72" s="502" t="s">
        <v>11</v>
      </c>
      <c r="AB72" s="502" t="s">
        <v>10</v>
      </c>
      <c r="AC72" s="502" t="s">
        <v>11</v>
      </c>
      <c r="AE72" s="494" t="s">
        <v>521</v>
      </c>
      <c r="AF72" s="494" t="s">
        <v>10</v>
      </c>
      <c r="AG72" s="502" t="s">
        <v>11</v>
      </c>
      <c r="AH72" s="502" t="s">
        <v>10</v>
      </c>
      <c r="AI72" s="502" t="s">
        <v>11</v>
      </c>
      <c r="AJ72" s="494" t="s">
        <v>10</v>
      </c>
      <c r="AK72" s="502" t="s">
        <v>11</v>
      </c>
      <c r="AL72" s="502" t="s">
        <v>10</v>
      </c>
      <c r="AM72" s="502" t="s">
        <v>11</v>
      </c>
      <c r="AO72" s="494" t="s">
        <v>521</v>
      </c>
      <c r="AP72" s="503" t="s">
        <v>10</v>
      </c>
      <c r="AQ72" s="504" t="s">
        <v>11</v>
      </c>
      <c r="AR72" s="504" t="s">
        <v>10</v>
      </c>
      <c r="AS72" s="504" t="s">
        <v>11</v>
      </c>
      <c r="AT72" s="503" t="s">
        <v>10</v>
      </c>
      <c r="AU72" s="504" t="s">
        <v>11</v>
      </c>
      <c r="AV72" s="504" t="s">
        <v>10</v>
      </c>
      <c r="AW72" s="504" t="s">
        <v>11</v>
      </c>
      <c r="BA72" s="494" t="s">
        <v>104</v>
      </c>
      <c r="BB72" s="503" t="s">
        <v>10</v>
      </c>
      <c r="BC72" s="504" t="s">
        <v>11</v>
      </c>
      <c r="BD72" s="504" t="s">
        <v>10</v>
      </c>
      <c r="BE72" s="504" t="s">
        <v>11</v>
      </c>
      <c r="BF72" s="503" t="s">
        <v>10</v>
      </c>
      <c r="BG72" s="504" t="s">
        <v>11</v>
      </c>
      <c r="BH72" s="504" t="s">
        <v>10</v>
      </c>
      <c r="BI72" s="504" t="s">
        <v>11</v>
      </c>
      <c r="BJ72" s="502" t="s">
        <v>10</v>
      </c>
      <c r="BK72" s="502" t="s">
        <v>11</v>
      </c>
      <c r="BL72" s="502" t="s">
        <v>10</v>
      </c>
      <c r="BM72" s="502" t="s">
        <v>11</v>
      </c>
    </row>
    <row r="73" ht="15.75" customHeight="1">
      <c r="A73" s="494">
        <v>100.0</v>
      </c>
      <c r="B73" s="36">
        <v>12.0</v>
      </c>
      <c r="C73" s="36">
        <v>12.0</v>
      </c>
      <c r="D73" s="36">
        <v>12.0</v>
      </c>
      <c r="E73" s="36">
        <v>12.0</v>
      </c>
      <c r="F73" s="36">
        <v>12.0</v>
      </c>
      <c r="G73" s="36">
        <v>12.0</v>
      </c>
      <c r="H73" s="36">
        <v>12.0</v>
      </c>
      <c r="I73" s="36">
        <v>12.0</v>
      </c>
      <c r="K73" s="494">
        <v>100.0</v>
      </c>
      <c r="L73" s="506">
        <f>Bajadas!C5</f>
        <v>203036.3023</v>
      </c>
      <c r="M73" s="506">
        <f>Bajadas!D5</f>
        <v>203268.3523</v>
      </c>
      <c r="N73" s="506">
        <f t="shared" ref="N73:O73" si="179">L73</f>
        <v>203036.3023</v>
      </c>
      <c r="O73" s="506">
        <f t="shared" si="179"/>
        <v>203268.3523</v>
      </c>
      <c r="P73" s="506">
        <f t="shared" ref="P73:Q73" si="180">L73</f>
        <v>203036.3023</v>
      </c>
      <c r="Q73" s="506">
        <f t="shared" si="180"/>
        <v>203268.3523</v>
      </c>
      <c r="R73" s="506">
        <f t="shared" ref="R73:S73" si="181">L73</f>
        <v>203036.3023</v>
      </c>
      <c r="S73" s="506">
        <f t="shared" si="181"/>
        <v>203268.3523</v>
      </c>
      <c r="T73" s="36"/>
      <c r="U73" s="494">
        <v>100.0</v>
      </c>
      <c r="V73" s="36"/>
      <c r="W73" s="36"/>
      <c r="X73" s="20">
        <f t="shared" ref="X73:AC73" si="182">X61</f>
        <v>136.2627045</v>
      </c>
      <c r="Y73" s="20" t="str">
        <f t="shared" si="182"/>
        <v/>
      </c>
      <c r="Z73" s="20">
        <f t="shared" si="182"/>
        <v>163.5152453</v>
      </c>
      <c r="AA73" s="20" t="str">
        <f t="shared" si="182"/>
        <v/>
      </c>
      <c r="AB73" s="20">
        <f t="shared" si="182"/>
        <v>163.5152453</v>
      </c>
      <c r="AC73" s="20">
        <f t="shared" si="182"/>
        <v>327.0304907</v>
      </c>
      <c r="AE73" s="494">
        <v>100.0</v>
      </c>
      <c r="AF73" s="32">
        <v>400.0</v>
      </c>
      <c r="AG73" s="32">
        <v>400.0</v>
      </c>
      <c r="AH73" s="32">
        <v>400.0</v>
      </c>
      <c r="AI73" s="32">
        <v>400.0</v>
      </c>
      <c r="AJ73" s="32">
        <v>400.0</v>
      </c>
      <c r="AK73" s="32">
        <v>400.0</v>
      </c>
      <c r="AL73" s="32">
        <v>400.0</v>
      </c>
      <c r="AM73" s="32">
        <v>400.0</v>
      </c>
      <c r="AO73" s="494">
        <v>100.0</v>
      </c>
      <c r="AP73" s="507">
        <f t="shared" ref="AP73:AW73" si="183">(B73*L73)+V73*B73+AF73</f>
        <v>2436835.628</v>
      </c>
      <c r="AQ73" s="507">
        <f t="shared" si="183"/>
        <v>2439620.228</v>
      </c>
      <c r="AR73" s="508">
        <f t="shared" si="183"/>
        <v>2438470.78</v>
      </c>
      <c r="AS73" s="508">
        <f t="shared" si="183"/>
        <v>2439620.228</v>
      </c>
      <c r="AT73" s="509">
        <f t="shared" si="183"/>
        <v>2438797.811</v>
      </c>
      <c r="AU73" s="509">
        <f t="shared" si="183"/>
        <v>2439620.228</v>
      </c>
      <c r="AV73" s="510">
        <f t="shared" si="183"/>
        <v>2438797.811</v>
      </c>
      <c r="AW73" s="510">
        <f t="shared" si="183"/>
        <v>2443544.593</v>
      </c>
      <c r="BA73" s="494">
        <v>100.0</v>
      </c>
      <c r="BB73" s="511">
        <v>169.89999999999998</v>
      </c>
      <c r="BC73" s="511">
        <v>211.29999999999998</v>
      </c>
      <c r="BD73" s="511">
        <v>184.89999999999998</v>
      </c>
      <c r="BE73" s="511">
        <v>241.29999999999998</v>
      </c>
      <c r="BF73" s="511">
        <v>199.89999999999998</v>
      </c>
      <c r="BG73" s="511">
        <v>271.29999999999995</v>
      </c>
      <c r="BH73" s="511">
        <v>200.5</v>
      </c>
      <c r="BI73" s="511">
        <v>272.5</v>
      </c>
      <c r="BJ73" s="108">
        <f t="shared" ref="BJ73:BK73" si="184">CEILING(BH73*1.15,1)</f>
        <v>231</v>
      </c>
      <c r="BK73" s="108">
        <f t="shared" si="184"/>
        <v>314</v>
      </c>
      <c r="BL73" s="511">
        <f t="shared" ref="BL73:BM73" si="185">BH73*1.4</f>
        <v>280.7</v>
      </c>
      <c r="BM73" s="511">
        <f t="shared" si="185"/>
        <v>381.5</v>
      </c>
    </row>
    <row r="74" ht="15.75" customHeight="1">
      <c r="A74" s="494">
        <v>200.0</v>
      </c>
      <c r="B74" s="36">
        <v>23.0</v>
      </c>
      <c r="C74" s="36">
        <v>23.0</v>
      </c>
      <c r="D74" s="36">
        <v>23.0</v>
      </c>
      <c r="E74" s="36">
        <v>23.0</v>
      </c>
      <c r="F74" s="36">
        <v>23.0</v>
      </c>
      <c r="G74" s="36">
        <v>23.0</v>
      </c>
      <c r="H74" s="36">
        <v>23.0</v>
      </c>
      <c r="I74" s="36">
        <v>23.0</v>
      </c>
      <c r="K74" s="494">
        <v>200.0</v>
      </c>
      <c r="L74" s="506">
        <f>Bajadas!C5</f>
        <v>203036.3023</v>
      </c>
      <c r="M74" s="506">
        <f>Bajadas!D5</f>
        <v>203268.3523</v>
      </c>
      <c r="N74" s="506">
        <f t="shared" ref="N74:O74" si="186">L74</f>
        <v>203036.3023</v>
      </c>
      <c r="O74" s="506">
        <f t="shared" si="186"/>
        <v>203268.3523</v>
      </c>
      <c r="P74" s="506">
        <f t="shared" ref="P74:Q74" si="187">L74</f>
        <v>203036.3023</v>
      </c>
      <c r="Q74" s="506">
        <f t="shared" si="187"/>
        <v>203268.3523</v>
      </c>
      <c r="R74" s="506">
        <f t="shared" ref="R74:S74" si="188">L74</f>
        <v>203036.3023</v>
      </c>
      <c r="S74" s="506">
        <f t="shared" si="188"/>
        <v>203268.3523</v>
      </c>
      <c r="T74" s="36"/>
      <c r="U74" s="494">
        <v>200.0</v>
      </c>
      <c r="V74" s="36"/>
      <c r="W74" s="36"/>
      <c r="X74" s="20">
        <f t="shared" ref="X74:AC74" si="189">X62</f>
        <v>136.2627045</v>
      </c>
      <c r="Y74" s="20" t="str">
        <f t="shared" si="189"/>
        <v/>
      </c>
      <c r="Z74" s="20">
        <f t="shared" si="189"/>
        <v>151.2516019</v>
      </c>
      <c r="AA74" s="20" t="str">
        <f t="shared" si="189"/>
        <v/>
      </c>
      <c r="AB74" s="20">
        <f t="shared" si="189"/>
        <v>163.5152453</v>
      </c>
      <c r="AC74" s="20">
        <f t="shared" si="189"/>
        <v>327.0304907</v>
      </c>
      <c r="AE74" s="494">
        <v>200.0</v>
      </c>
      <c r="AF74" s="32">
        <v>500.0</v>
      </c>
      <c r="AG74" s="32">
        <v>500.0</v>
      </c>
      <c r="AH74" s="32">
        <v>500.0</v>
      </c>
      <c r="AI74" s="32">
        <v>500.0</v>
      </c>
      <c r="AJ74" s="32">
        <v>500.0</v>
      </c>
      <c r="AK74" s="32">
        <v>500.0</v>
      </c>
      <c r="AL74" s="32">
        <v>500.0</v>
      </c>
      <c r="AM74" s="32">
        <v>500.0</v>
      </c>
      <c r="AO74" s="494">
        <v>200.0</v>
      </c>
      <c r="AP74" s="507">
        <f t="shared" ref="AP74:AW74" si="190">(B74*L74)+V74*B74+AF74</f>
        <v>4670334.953</v>
      </c>
      <c r="AQ74" s="507">
        <f t="shared" si="190"/>
        <v>4675672.103</v>
      </c>
      <c r="AR74" s="508">
        <f t="shared" si="190"/>
        <v>4673468.995</v>
      </c>
      <c r="AS74" s="508">
        <f t="shared" si="190"/>
        <v>4675672.103</v>
      </c>
      <c r="AT74" s="509">
        <f t="shared" si="190"/>
        <v>4673813.74</v>
      </c>
      <c r="AU74" s="509">
        <f t="shared" si="190"/>
        <v>4675672.103</v>
      </c>
      <c r="AV74" s="510">
        <f t="shared" si="190"/>
        <v>4674095.804</v>
      </c>
      <c r="AW74" s="510">
        <f t="shared" si="190"/>
        <v>4683193.804</v>
      </c>
      <c r="BA74" s="494">
        <v>200.0</v>
      </c>
      <c r="BB74" s="511">
        <v>261.475</v>
      </c>
      <c r="BC74" s="511">
        <v>340.825</v>
      </c>
      <c r="BD74" s="511">
        <v>290.225</v>
      </c>
      <c r="BE74" s="511">
        <v>398.325</v>
      </c>
      <c r="BF74" s="511">
        <v>318.975</v>
      </c>
      <c r="BG74" s="511">
        <v>455.825</v>
      </c>
      <c r="BH74" s="511">
        <v>320.125</v>
      </c>
      <c r="BI74" s="511">
        <v>458.125</v>
      </c>
      <c r="BJ74" s="108">
        <f t="shared" ref="BJ74:BK74" si="191">CEILING(BH74*1.15,1)</f>
        <v>369</v>
      </c>
      <c r="BK74" s="108">
        <f t="shared" si="191"/>
        <v>527</v>
      </c>
      <c r="BL74" s="511">
        <f t="shared" ref="BL74:BM74" si="192">BH74*1.4</f>
        <v>448.175</v>
      </c>
      <c r="BM74" s="511">
        <f t="shared" si="192"/>
        <v>641.375</v>
      </c>
    </row>
    <row r="75" ht="15.75" customHeight="1">
      <c r="A75" s="494">
        <v>300.0</v>
      </c>
      <c r="B75" s="36">
        <v>34.0</v>
      </c>
      <c r="C75" s="36">
        <v>34.0</v>
      </c>
      <c r="D75" s="36">
        <v>34.0</v>
      </c>
      <c r="E75" s="36">
        <v>34.0</v>
      </c>
      <c r="F75" s="36">
        <v>34.0</v>
      </c>
      <c r="G75" s="36">
        <v>34.0</v>
      </c>
      <c r="H75" s="36">
        <v>34.0</v>
      </c>
      <c r="I75" s="36">
        <v>34.0</v>
      </c>
      <c r="K75" s="494">
        <v>300.0</v>
      </c>
      <c r="L75" s="506">
        <f>Bajadas!C6</f>
        <v>197064.6464</v>
      </c>
      <c r="M75" s="506">
        <f>Bajadas!D6</f>
        <v>197289.8714</v>
      </c>
      <c r="N75" s="506">
        <f t="shared" ref="N75:O75" si="193">L75</f>
        <v>197064.6464</v>
      </c>
      <c r="O75" s="506">
        <f t="shared" si="193"/>
        <v>197289.8714</v>
      </c>
      <c r="P75" s="506">
        <f t="shared" ref="P75:Q75" si="194">L75</f>
        <v>197064.6464</v>
      </c>
      <c r="Q75" s="506">
        <f t="shared" si="194"/>
        <v>197289.8714</v>
      </c>
      <c r="R75" s="506">
        <f t="shared" ref="R75:S75" si="195">L75</f>
        <v>197064.6464</v>
      </c>
      <c r="S75" s="506">
        <f t="shared" si="195"/>
        <v>197289.8714</v>
      </c>
      <c r="T75" s="36"/>
      <c r="U75" s="494">
        <v>300.0</v>
      </c>
      <c r="V75" s="36"/>
      <c r="W75" s="36"/>
      <c r="X75" s="20">
        <f t="shared" ref="X75:AC75" si="196">X63</f>
        <v>115.8232988</v>
      </c>
      <c r="Y75" s="20" t="str">
        <f t="shared" si="196"/>
        <v/>
      </c>
      <c r="Z75" s="20">
        <f t="shared" si="196"/>
        <v>138.9879585</v>
      </c>
      <c r="AA75" s="20" t="str">
        <f t="shared" si="196"/>
        <v/>
      </c>
      <c r="AB75" s="20">
        <f t="shared" si="196"/>
        <v>151.2516019</v>
      </c>
      <c r="AC75" s="20">
        <f t="shared" si="196"/>
        <v>302.5032039</v>
      </c>
      <c r="AE75" s="494">
        <v>300.0</v>
      </c>
      <c r="AF75" s="32">
        <v>700.0</v>
      </c>
      <c r="AG75" s="32">
        <v>700.0</v>
      </c>
      <c r="AH75" s="32">
        <v>700.0</v>
      </c>
      <c r="AI75" s="32">
        <v>700.0</v>
      </c>
      <c r="AJ75" s="32">
        <v>700.0</v>
      </c>
      <c r="AK75" s="32">
        <v>700.0</v>
      </c>
      <c r="AL75" s="32">
        <v>700.0</v>
      </c>
      <c r="AM75" s="32">
        <v>700.0</v>
      </c>
      <c r="AO75" s="494">
        <v>300.0</v>
      </c>
      <c r="AP75" s="507">
        <f t="shared" ref="AP75:AW75" si="197">(B75*L75)+V75*B75+AF75</f>
        <v>6700897.976</v>
      </c>
      <c r="AQ75" s="507">
        <f t="shared" si="197"/>
        <v>6708555.626</v>
      </c>
      <c r="AR75" s="508">
        <f t="shared" si="197"/>
        <v>6704835.968</v>
      </c>
      <c r="AS75" s="508">
        <f t="shared" si="197"/>
        <v>6708555.626</v>
      </c>
      <c r="AT75" s="509">
        <f t="shared" si="197"/>
        <v>6705623.566</v>
      </c>
      <c r="AU75" s="509">
        <f t="shared" si="197"/>
        <v>6708555.626</v>
      </c>
      <c r="AV75" s="510">
        <f t="shared" si="197"/>
        <v>6706040.53</v>
      </c>
      <c r="AW75" s="510">
        <f t="shared" si="197"/>
        <v>6718840.735</v>
      </c>
      <c r="BA75" s="494">
        <v>300.0</v>
      </c>
      <c r="BB75" s="511">
        <v>322.45</v>
      </c>
      <c r="BC75" s="511">
        <v>434.65000000000003</v>
      </c>
      <c r="BD75" s="511">
        <v>364.95</v>
      </c>
      <c r="BE75" s="511">
        <v>519.6500000000001</v>
      </c>
      <c r="BF75" s="511">
        <v>407.45</v>
      </c>
      <c r="BG75" s="511">
        <v>604.6500000000001</v>
      </c>
      <c r="BH75" s="511">
        <v>409.15</v>
      </c>
      <c r="BI75" s="511">
        <v>608.05</v>
      </c>
      <c r="BJ75" s="108">
        <f t="shared" ref="BJ75:BK75" si="198">CEILING(BH75*1.15,1)</f>
        <v>471</v>
      </c>
      <c r="BK75" s="108">
        <f t="shared" si="198"/>
        <v>700</v>
      </c>
      <c r="BL75" s="511">
        <f t="shared" ref="BL75:BM75" si="199">BH75*1.4</f>
        <v>572.81</v>
      </c>
      <c r="BM75" s="511">
        <f t="shared" si="199"/>
        <v>851.27</v>
      </c>
    </row>
    <row r="76" ht="15.75" customHeight="1">
      <c r="A76" s="494">
        <v>500.0</v>
      </c>
      <c r="B76" s="36">
        <v>56.0</v>
      </c>
      <c r="C76" s="36">
        <v>56.0</v>
      </c>
      <c r="D76" s="36">
        <v>56.0</v>
      </c>
      <c r="E76" s="36">
        <v>56.0</v>
      </c>
      <c r="F76" s="36">
        <v>56.0</v>
      </c>
      <c r="G76" s="36">
        <v>56.0</v>
      </c>
      <c r="H76" s="36">
        <v>56.0</v>
      </c>
      <c r="I76" s="36">
        <v>56.0</v>
      </c>
      <c r="K76" s="494">
        <v>500.0</v>
      </c>
      <c r="L76" s="506">
        <f>Bajadas!C7</f>
        <v>191092.9904</v>
      </c>
      <c r="M76" s="506">
        <f>Bajadas!D7</f>
        <v>191311.3904</v>
      </c>
      <c r="N76" s="506">
        <f t="shared" ref="N76:O76" si="200">L76</f>
        <v>191092.9904</v>
      </c>
      <c r="O76" s="506">
        <f t="shared" si="200"/>
        <v>191311.3904</v>
      </c>
      <c r="P76" s="506">
        <f t="shared" ref="P76:Q76" si="201">L76</f>
        <v>191092.9904</v>
      </c>
      <c r="Q76" s="506">
        <f t="shared" si="201"/>
        <v>191311.3904</v>
      </c>
      <c r="R76" s="506">
        <f t="shared" ref="R76:S76" si="202">L76</f>
        <v>191092.9904</v>
      </c>
      <c r="S76" s="506">
        <f t="shared" si="202"/>
        <v>191311.3904</v>
      </c>
      <c r="T76" s="36"/>
      <c r="U76" s="494">
        <v>500.0</v>
      </c>
      <c r="V76" s="36"/>
      <c r="W76" s="36"/>
      <c r="X76" s="20">
        <f t="shared" ref="X76:AC76" si="203">X64</f>
        <v>105.603596</v>
      </c>
      <c r="Y76" s="20" t="str">
        <f t="shared" si="203"/>
        <v/>
      </c>
      <c r="Z76" s="20">
        <f t="shared" si="203"/>
        <v>126.7243151</v>
      </c>
      <c r="AA76" s="20" t="str">
        <f t="shared" si="203"/>
        <v/>
      </c>
      <c r="AB76" s="20">
        <f t="shared" si="203"/>
        <v>151.2516019</v>
      </c>
      <c r="AC76" s="20">
        <f t="shared" si="203"/>
        <v>302.5032039</v>
      </c>
      <c r="AE76" s="494">
        <v>500.0</v>
      </c>
      <c r="AF76" s="32">
        <v>1000.0</v>
      </c>
      <c r="AG76" s="32">
        <v>1000.0</v>
      </c>
      <c r="AH76" s="32">
        <v>1000.0</v>
      </c>
      <c r="AI76" s="32">
        <v>1000.0</v>
      </c>
      <c r="AJ76" s="32">
        <v>1000.0</v>
      </c>
      <c r="AK76" s="32">
        <v>1000.0</v>
      </c>
      <c r="AL76" s="32">
        <v>1000.0</v>
      </c>
      <c r="AM76" s="32">
        <v>1000.0</v>
      </c>
      <c r="AO76" s="494">
        <v>500.0</v>
      </c>
      <c r="AP76" s="507">
        <f t="shared" ref="AP76:AW76" si="204">(B76*L76)+V76*B76+AF76</f>
        <v>10702207.46</v>
      </c>
      <c r="AQ76" s="507">
        <f t="shared" si="204"/>
        <v>10714437.86</v>
      </c>
      <c r="AR76" s="508">
        <f t="shared" si="204"/>
        <v>10708121.26</v>
      </c>
      <c r="AS76" s="508">
        <f t="shared" si="204"/>
        <v>10714437.86</v>
      </c>
      <c r="AT76" s="509">
        <f t="shared" si="204"/>
        <v>10709304.02</v>
      </c>
      <c r="AU76" s="509">
        <f t="shared" si="204"/>
        <v>10714437.86</v>
      </c>
      <c r="AV76" s="510">
        <f t="shared" si="204"/>
        <v>10710677.55</v>
      </c>
      <c r="AW76" s="510">
        <f t="shared" si="204"/>
        <v>10731378.04</v>
      </c>
      <c r="BA76" s="494">
        <v>500.0</v>
      </c>
      <c r="BB76" s="511">
        <v>477.4</v>
      </c>
      <c r="BC76" s="511">
        <v>662.1999999999999</v>
      </c>
      <c r="BD76" s="511">
        <v>544.5999999999999</v>
      </c>
      <c r="BE76" s="511">
        <v>796.5999999999999</v>
      </c>
      <c r="BF76" s="511">
        <v>609.0</v>
      </c>
      <c r="BG76" s="511">
        <v>925.3999999999999</v>
      </c>
      <c r="BH76" s="511">
        <v>611.8</v>
      </c>
      <c r="BI76" s="511">
        <v>931.0</v>
      </c>
      <c r="BJ76" s="108">
        <f t="shared" ref="BJ76:BK76" si="205">CEILING(BH76*1.15,1)</f>
        <v>704</v>
      </c>
      <c r="BK76" s="108">
        <f t="shared" si="205"/>
        <v>1071</v>
      </c>
      <c r="BL76" s="511">
        <f t="shared" ref="BL76:BM76" si="206">BH76*1.4</f>
        <v>856.52</v>
      </c>
      <c r="BM76" s="511">
        <f t="shared" si="206"/>
        <v>1303.4</v>
      </c>
    </row>
    <row r="77" ht="15.75" customHeight="1">
      <c r="A77" s="494">
        <v>1000.0</v>
      </c>
      <c r="B77" s="36">
        <v>112.0</v>
      </c>
      <c r="C77" s="36">
        <v>112.0</v>
      </c>
      <c r="D77" s="36">
        <v>112.0</v>
      </c>
      <c r="E77" s="36">
        <v>112.0</v>
      </c>
      <c r="F77" s="36">
        <v>112.0</v>
      </c>
      <c r="G77" s="36">
        <v>112.0</v>
      </c>
      <c r="H77" s="36">
        <v>112.0</v>
      </c>
      <c r="I77" s="36">
        <v>112.0</v>
      </c>
      <c r="K77" s="494">
        <v>1000.0</v>
      </c>
      <c r="L77" s="506">
        <f>Bajadas!C8</f>
        <v>185121.3345</v>
      </c>
      <c r="M77" s="506">
        <f>Bajadas!D8</f>
        <v>185332.9095</v>
      </c>
      <c r="N77" s="506">
        <f t="shared" ref="N77:O77" si="207">L77</f>
        <v>185121.3345</v>
      </c>
      <c r="O77" s="506">
        <f t="shared" si="207"/>
        <v>185332.9095</v>
      </c>
      <c r="P77" s="506">
        <f t="shared" ref="P77:Q77" si="208">L77</f>
        <v>185121.3345</v>
      </c>
      <c r="Q77" s="506">
        <f t="shared" si="208"/>
        <v>185332.9095</v>
      </c>
      <c r="R77" s="506">
        <f t="shared" ref="R77:S77" si="209">L77</f>
        <v>185121.3345</v>
      </c>
      <c r="S77" s="506">
        <f t="shared" si="209"/>
        <v>185332.9095</v>
      </c>
      <c r="T77" s="36"/>
      <c r="U77" s="494">
        <v>1000.0</v>
      </c>
      <c r="V77" s="36"/>
      <c r="W77" s="36"/>
      <c r="X77" s="20">
        <f t="shared" ref="X77:AC77" si="210">X65</f>
        <v>98.79046073</v>
      </c>
      <c r="Y77" s="20" t="str">
        <f t="shared" si="210"/>
        <v/>
      </c>
      <c r="Z77" s="20">
        <f t="shared" si="210"/>
        <v>118.5485529</v>
      </c>
      <c r="AA77" s="20" t="str">
        <f t="shared" si="210"/>
        <v/>
      </c>
      <c r="AB77" s="20">
        <f t="shared" si="210"/>
        <v>151.2516019</v>
      </c>
      <c r="AC77" s="20">
        <f t="shared" si="210"/>
        <v>302.5032039</v>
      </c>
      <c r="AE77" s="494">
        <v>1000.0</v>
      </c>
      <c r="AF77" s="32">
        <v>1600.0</v>
      </c>
      <c r="AG77" s="32">
        <v>1600.0</v>
      </c>
      <c r="AH77" s="32">
        <v>1600.0</v>
      </c>
      <c r="AI77" s="32">
        <v>1600.0</v>
      </c>
      <c r="AJ77" s="32">
        <v>1600.0</v>
      </c>
      <c r="AK77" s="32">
        <v>1600.0</v>
      </c>
      <c r="AL77" s="32">
        <v>1600.0</v>
      </c>
      <c r="AM77" s="32">
        <v>1600.0</v>
      </c>
      <c r="AO77" s="494">
        <v>1000.0</v>
      </c>
      <c r="AP77" s="507">
        <f t="shared" ref="AP77:AW77" si="211">(B77*L77)+V77*B77+AF77</f>
        <v>20735189.46</v>
      </c>
      <c r="AQ77" s="507">
        <f t="shared" si="211"/>
        <v>20758885.86</v>
      </c>
      <c r="AR77" s="508">
        <f t="shared" si="211"/>
        <v>20746253.99</v>
      </c>
      <c r="AS77" s="508">
        <f t="shared" si="211"/>
        <v>20758885.86</v>
      </c>
      <c r="AT77" s="509">
        <f t="shared" si="211"/>
        <v>20748466.9</v>
      </c>
      <c r="AU77" s="509">
        <f t="shared" si="211"/>
        <v>20758885.86</v>
      </c>
      <c r="AV77" s="510">
        <f t="shared" si="211"/>
        <v>20752129.64</v>
      </c>
      <c r="AW77" s="510">
        <f t="shared" si="211"/>
        <v>20792766.22</v>
      </c>
      <c r="BA77" s="494">
        <v>1000.0</v>
      </c>
      <c r="BB77" s="511">
        <v>878.0000000000001</v>
      </c>
      <c r="BC77" s="511">
        <v>1230.8000000000002</v>
      </c>
      <c r="BD77" s="511">
        <v>1006.8000000000001</v>
      </c>
      <c r="BE77" s="511">
        <v>1488.4</v>
      </c>
      <c r="BF77" s="511">
        <v>1124.4</v>
      </c>
      <c r="BG77" s="511">
        <v>1723.6000000000004</v>
      </c>
      <c r="BH77" s="511">
        <v>1130.0</v>
      </c>
      <c r="BI77" s="511">
        <v>1734.8000000000002</v>
      </c>
      <c r="BJ77" s="108">
        <f t="shared" ref="BJ77:BK77" si="212">CEILING(BH77*1.15,1)</f>
        <v>1300</v>
      </c>
      <c r="BK77" s="108">
        <f t="shared" si="212"/>
        <v>1996</v>
      </c>
      <c r="BL77" s="511">
        <f t="shared" ref="BL77:BM77" si="213">BH77*1.4</f>
        <v>1582</v>
      </c>
      <c r="BM77" s="511">
        <f t="shared" si="213"/>
        <v>2428.72</v>
      </c>
    </row>
    <row r="78" ht="15.75" customHeight="1"/>
    <row r="79" ht="15.75" customHeight="1"/>
    <row r="80" ht="15.75" customHeight="1">
      <c r="A80" s="28" t="s">
        <v>524</v>
      </c>
    </row>
    <row r="81" ht="15.75" customHeight="1">
      <c r="A81" s="3" t="s">
        <v>485</v>
      </c>
      <c r="BA81" s="494" t="s">
        <v>524</v>
      </c>
    </row>
    <row r="82" ht="15.75" customHeight="1">
      <c r="A82" s="116" t="s">
        <v>525</v>
      </c>
      <c r="B82" s="116"/>
      <c r="BA82" s="3" t="s">
        <v>526</v>
      </c>
    </row>
    <row r="83" ht="15.75" customHeight="1">
      <c r="A83" s="116" t="s">
        <v>526</v>
      </c>
      <c r="B83" s="116"/>
      <c r="AM83" s="3"/>
      <c r="AN83" s="517"/>
      <c r="AO83" s="518"/>
      <c r="AP83" s="518">
        <v>1.0</v>
      </c>
      <c r="AQ83" s="518">
        <v>1.4</v>
      </c>
      <c r="AR83" s="518">
        <v>1.3</v>
      </c>
      <c r="AS83" s="518">
        <v>1.83</v>
      </c>
      <c r="AT83" s="518">
        <v>2.64</v>
      </c>
      <c r="AU83" s="518">
        <v>3.73</v>
      </c>
      <c r="AV83" s="518">
        <v>5.05</v>
      </c>
      <c r="AW83" s="518">
        <v>7.16</v>
      </c>
      <c r="AX83" s="519"/>
      <c r="BA83" s="3" t="s">
        <v>527</v>
      </c>
    </row>
    <row r="84" ht="15.75" customHeight="1">
      <c r="B84" s="496" t="s">
        <v>528</v>
      </c>
      <c r="C84" s="515"/>
      <c r="D84" s="515"/>
      <c r="E84" s="515"/>
      <c r="F84" s="515"/>
      <c r="G84" s="515"/>
      <c r="H84" s="515"/>
      <c r="I84" s="476"/>
      <c r="L84" s="496" t="s">
        <v>490</v>
      </c>
      <c r="M84" s="515"/>
      <c r="N84" s="515"/>
      <c r="O84" s="515"/>
      <c r="P84" s="515"/>
      <c r="Q84" s="515"/>
      <c r="R84" s="515"/>
      <c r="S84" s="476"/>
      <c r="U84" s="490" t="s">
        <v>492</v>
      </c>
      <c r="V84" s="491"/>
      <c r="W84" s="491"/>
      <c r="X84" s="491"/>
      <c r="Y84" s="491"/>
      <c r="Z84" s="491"/>
      <c r="AA84" s="491"/>
      <c r="AB84" s="491"/>
      <c r="AC84" s="492"/>
      <c r="AE84" s="490" t="s">
        <v>492</v>
      </c>
      <c r="AF84" s="491"/>
      <c r="AG84" s="491"/>
      <c r="AH84" s="491"/>
      <c r="AI84" s="491"/>
      <c r="AJ84" s="491"/>
      <c r="AK84" s="491"/>
      <c r="AL84" s="491"/>
      <c r="AM84" s="492"/>
      <c r="AN84" s="520"/>
      <c r="AO84" s="3"/>
      <c r="AP84" s="496" t="s">
        <v>504</v>
      </c>
      <c r="AQ84" s="515"/>
      <c r="AR84" s="515"/>
      <c r="AS84" s="515"/>
      <c r="AT84" s="515"/>
      <c r="AU84" s="515"/>
      <c r="AV84" s="515"/>
      <c r="AW84" s="476"/>
      <c r="AX84" s="521"/>
      <c r="BA84" s="514" t="s">
        <v>529</v>
      </c>
      <c r="BB84" s="515"/>
      <c r="BC84" s="515"/>
      <c r="BD84" s="515"/>
      <c r="BE84" s="515"/>
      <c r="BF84" s="515"/>
      <c r="BG84" s="515"/>
      <c r="BH84" s="515"/>
      <c r="BI84" s="476"/>
    </row>
    <row r="85" ht="15.75" customHeight="1">
      <c r="A85" s="494" t="s">
        <v>104</v>
      </c>
      <c r="B85" s="496" t="s">
        <v>129</v>
      </c>
      <c r="C85" s="476"/>
      <c r="D85" s="496" t="s">
        <v>125</v>
      </c>
      <c r="E85" s="476"/>
      <c r="F85" s="496" t="s">
        <v>121</v>
      </c>
      <c r="G85" s="476"/>
      <c r="H85" s="496" t="s">
        <v>16</v>
      </c>
      <c r="I85" s="476"/>
      <c r="K85" s="494" t="s">
        <v>104</v>
      </c>
      <c r="L85" s="496" t="s">
        <v>129</v>
      </c>
      <c r="M85" s="476"/>
      <c r="N85" s="496" t="s">
        <v>125</v>
      </c>
      <c r="O85" s="476"/>
      <c r="P85" s="496" t="s">
        <v>121</v>
      </c>
      <c r="Q85" s="476"/>
      <c r="R85" s="496" t="s">
        <v>16</v>
      </c>
      <c r="S85" s="476"/>
      <c r="U85" s="494" t="s">
        <v>104</v>
      </c>
      <c r="V85" s="496" t="s">
        <v>473</v>
      </c>
      <c r="W85" s="476"/>
      <c r="X85" s="496" t="s">
        <v>71</v>
      </c>
      <c r="Y85" s="476"/>
      <c r="Z85" s="496" t="s">
        <v>494</v>
      </c>
      <c r="AA85" s="476"/>
      <c r="AB85" s="496" t="s">
        <v>495</v>
      </c>
      <c r="AC85" s="497"/>
      <c r="AE85" s="494" t="s">
        <v>104</v>
      </c>
      <c r="AF85" s="496" t="s">
        <v>473</v>
      </c>
      <c r="AG85" s="476"/>
      <c r="AH85" s="496" t="s">
        <v>71</v>
      </c>
      <c r="AI85" s="476"/>
      <c r="AJ85" s="496" t="s">
        <v>494</v>
      </c>
      <c r="AK85" s="476"/>
      <c r="AL85" s="496" t="s">
        <v>495</v>
      </c>
      <c r="AM85" s="497"/>
      <c r="AN85" s="520"/>
      <c r="AO85" s="494" t="s">
        <v>104</v>
      </c>
      <c r="AP85" s="498" t="s">
        <v>129</v>
      </c>
      <c r="AQ85" s="476"/>
      <c r="AR85" s="499" t="s">
        <v>125</v>
      </c>
      <c r="AS85" s="476"/>
      <c r="AT85" s="500" t="s">
        <v>121</v>
      </c>
      <c r="AU85" s="476"/>
      <c r="AV85" s="498" t="s">
        <v>16</v>
      </c>
      <c r="AW85" s="497"/>
      <c r="AX85" s="521"/>
      <c r="BA85" s="494" t="s">
        <v>524</v>
      </c>
      <c r="BB85" s="496" t="s">
        <v>129</v>
      </c>
      <c r="BC85" s="476"/>
      <c r="BD85" s="496" t="s">
        <v>125</v>
      </c>
      <c r="BE85" s="476"/>
      <c r="BF85" s="496" t="s">
        <v>121</v>
      </c>
      <c r="BG85" s="476"/>
      <c r="BH85" s="496" t="s">
        <v>16</v>
      </c>
      <c r="BI85" s="476"/>
    </row>
    <row r="86" ht="15.75" customHeight="1">
      <c r="A86" s="494" t="s">
        <v>524</v>
      </c>
      <c r="B86" s="494" t="s">
        <v>10</v>
      </c>
      <c r="C86" s="502" t="s">
        <v>11</v>
      </c>
      <c r="D86" s="494" t="s">
        <v>10</v>
      </c>
      <c r="E86" s="502" t="s">
        <v>11</v>
      </c>
      <c r="F86" s="494" t="s">
        <v>10</v>
      </c>
      <c r="G86" s="502" t="s">
        <v>11</v>
      </c>
      <c r="H86" s="494" t="s">
        <v>10</v>
      </c>
      <c r="I86" s="502" t="s">
        <v>11</v>
      </c>
      <c r="K86" s="494" t="s">
        <v>524</v>
      </c>
      <c r="L86" s="494" t="s">
        <v>10</v>
      </c>
      <c r="M86" s="502" t="s">
        <v>11</v>
      </c>
      <c r="N86" s="494" t="s">
        <v>10</v>
      </c>
      <c r="O86" s="502" t="s">
        <v>11</v>
      </c>
      <c r="P86" s="494" t="s">
        <v>10</v>
      </c>
      <c r="Q86" s="502" t="s">
        <v>11</v>
      </c>
      <c r="R86" s="494" t="s">
        <v>10</v>
      </c>
      <c r="S86" s="502" t="s">
        <v>11</v>
      </c>
      <c r="U86" s="494" t="s">
        <v>521</v>
      </c>
      <c r="V86" s="494" t="s">
        <v>10</v>
      </c>
      <c r="W86" s="502" t="s">
        <v>11</v>
      </c>
      <c r="X86" s="502" t="s">
        <v>10</v>
      </c>
      <c r="Y86" s="502" t="s">
        <v>11</v>
      </c>
      <c r="Z86" s="494" t="s">
        <v>10</v>
      </c>
      <c r="AA86" s="502" t="s">
        <v>11</v>
      </c>
      <c r="AB86" s="502" t="s">
        <v>10</v>
      </c>
      <c r="AC86" s="502" t="s">
        <v>11</v>
      </c>
      <c r="AE86" s="494" t="s">
        <v>521</v>
      </c>
      <c r="AF86" s="494" t="s">
        <v>10</v>
      </c>
      <c r="AG86" s="502" t="s">
        <v>11</v>
      </c>
      <c r="AH86" s="502" t="s">
        <v>10</v>
      </c>
      <c r="AI86" s="502" t="s">
        <v>11</v>
      </c>
      <c r="AJ86" s="494" t="s">
        <v>10</v>
      </c>
      <c r="AK86" s="502" t="s">
        <v>11</v>
      </c>
      <c r="AL86" s="502" t="s">
        <v>10</v>
      </c>
      <c r="AM86" s="522" t="s">
        <v>11</v>
      </c>
      <c r="AN86" s="520"/>
      <c r="AO86" s="494" t="s">
        <v>524</v>
      </c>
      <c r="AP86" s="503" t="s">
        <v>10</v>
      </c>
      <c r="AQ86" s="504" t="s">
        <v>11</v>
      </c>
      <c r="AR86" s="504" t="s">
        <v>10</v>
      </c>
      <c r="AS86" s="504" t="s">
        <v>11</v>
      </c>
      <c r="AT86" s="503" t="s">
        <v>10</v>
      </c>
      <c r="AU86" s="504" t="s">
        <v>11</v>
      </c>
      <c r="AV86" s="504" t="s">
        <v>10</v>
      </c>
      <c r="AW86" s="504" t="s">
        <v>11</v>
      </c>
      <c r="AX86" s="521"/>
      <c r="BA86" s="494" t="s">
        <v>104</v>
      </c>
      <c r="BB86" s="494" t="s">
        <v>10</v>
      </c>
      <c r="BC86" s="502" t="s">
        <v>11</v>
      </c>
      <c r="BD86" s="494" t="s">
        <v>10</v>
      </c>
      <c r="BE86" s="502" t="s">
        <v>11</v>
      </c>
      <c r="BF86" s="494" t="s">
        <v>10</v>
      </c>
      <c r="BG86" s="502" t="s">
        <v>11</v>
      </c>
      <c r="BH86" s="494" t="s">
        <v>10</v>
      </c>
      <c r="BI86" s="502" t="s">
        <v>11</v>
      </c>
    </row>
    <row r="87" ht="15.75" customHeight="1">
      <c r="A87" s="494">
        <v>100.0</v>
      </c>
      <c r="B87" s="36">
        <v>9.0</v>
      </c>
      <c r="C87" s="36">
        <v>9.0</v>
      </c>
      <c r="D87" s="36">
        <v>12.0</v>
      </c>
      <c r="E87" s="36">
        <v>12.0</v>
      </c>
      <c r="F87" s="36">
        <v>25.0</v>
      </c>
      <c r="G87" s="36">
        <v>25.0</v>
      </c>
      <c r="H87" s="36">
        <v>50.0</v>
      </c>
      <c r="I87" s="36">
        <v>50.0</v>
      </c>
      <c r="K87" s="494">
        <v>100.0</v>
      </c>
      <c r="L87" s="506">
        <f>Bajadas!K5</f>
        <v>87022.47938</v>
      </c>
      <c r="M87" s="506">
        <f>Bajadas!L5</f>
        <v>87254.52938</v>
      </c>
      <c r="N87" s="506">
        <f>Bajadas!K5</f>
        <v>87022.47938</v>
      </c>
      <c r="O87" s="506">
        <f>Bajadas!L5</f>
        <v>87254.52938</v>
      </c>
      <c r="P87" s="506">
        <f>Bajadas!K5</f>
        <v>87022.47938</v>
      </c>
      <c r="Q87" s="506">
        <f>Bajadas!L5</f>
        <v>87254.52938</v>
      </c>
      <c r="R87" s="506">
        <f>Bajadas!K6</f>
        <v>84462.99469</v>
      </c>
      <c r="S87" s="506">
        <f>Bajadas!L6</f>
        <v>84688.21969</v>
      </c>
      <c r="U87" s="494">
        <v>100.0</v>
      </c>
      <c r="V87" s="32">
        <v>200.0</v>
      </c>
      <c r="W87" s="32">
        <v>200.0</v>
      </c>
      <c r="X87" s="32">
        <v>200.0</v>
      </c>
      <c r="Y87" s="32">
        <v>200.0</v>
      </c>
      <c r="Z87" s="32">
        <v>200.0</v>
      </c>
      <c r="AA87" s="32">
        <v>200.0</v>
      </c>
      <c r="AB87" s="32">
        <v>200.0</v>
      </c>
      <c r="AC87" s="32">
        <v>200.0</v>
      </c>
      <c r="AE87" s="494">
        <v>100.0</v>
      </c>
      <c r="AF87" s="32">
        <v>400.0</v>
      </c>
      <c r="AG87" s="32">
        <v>400.0</v>
      </c>
      <c r="AH87" s="32">
        <v>400.0</v>
      </c>
      <c r="AI87" s="32">
        <v>400.0</v>
      </c>
      <c r="AJ87" s="32">
        <v>400.0</v>
      </c>
      <c r="AK87" s="32">
        <v>400.0</v>
      </c>
      <c r="AL87" s="32">
        <v>400.0</v>
      </c>
      <c r="AM87" s="32">
        <v>400.0</v>
      </c>
      <c r="AN87" s="523">
        <v>1.0</v>
      </c>
      <c r="AO87" s="494">
        <v>100.0</v>
      </c>
      <c r="AP87" s="507">
        <f t="shared" ref="AP87:AW87" si="214">B87*L87+V87</f>
        <v>783402.3144</v>
      </c>
      <c r="AQ87" s="507">
        <f t="shared" si="214"/>
        <v>785490.7644</v>
      </c>
      <c r="AR87" s="508">
        <f t="shared" si="214"/>
        <v>1044469.753</v>
      </c>
      <c r="AS87" s="508">
        <f t="shared" si="214"/>
        <v>1047254.353</v>
      </c>
      <c r="AT87" s="509">
        <f t="shared" si="214"/>
        <v>2175761.984</v>
      </c>
      <c r="AU87" s="509">
        <f t="shared" si="214"/>
        <v>2181563.234</v>
      </c>
      <c r="AV87" s="510">
        <f t="shared" si="214"/>
        <v>4223349.734</v>
      </c>
      <c r="AW87" s="510">
        <f t="shared" si="214"/>
        <v>4234610.984</v>
      </c>
      <c r="AX87" s="521"/>
      <c r="BA87" s="494">
        <v>100.0</v>
      </c>
      <c r="BB87" s="524">
        <v>130.4251</v>
      </c>
      <c r="BC87" s="524">
        <v>161.4751</v>
      </c>
      <c r="BD87" s="524">
        <v>150.5668</v>
      </c>
      <c r="BE87" s="524">
        <v>191.9668</v>
      </c>
      <c r="BF87" s="524">
        <v>237.8475</v>
      </c>
      <c r="BG87" s="524">
        <v>324.09749999999997</v>
      </c>
      <c r="BH87" s="524">
        <v>340.695</v>
      </c>
      <c r="BI87" s="524">
        <v>505.69500000000005</v>
      </c>
    </row>
    <row r="88" ht="15.75" customHeight="1">
      <c r="A88" s="494">
        <v>200.0</v>
      </c>
      <c r="B88" s="36">
        <v>17.0</v>
      </c>
      <c r="C88" s="36">
        <v>17.0</v>
      </c>
      <c r="D88" s="36">
        <v>23.0</v>
      </c>
      <c r="E88" s="36">
        <v>23.0</v>
      </c>
      <c r="F88" s="36">
        <v>50.0</v>
      </c>
      <c r="G88" s="36">
        <v>50.0</v>
      </c>
      <c r="H88" s="36">
        <v>100.0</v>
      </c>
      <c r="I88" s="36">
        <v>100.0</v>
      </c>
      <c r="K88" s="494">
        <v>200.0</v>
      </c>
      <c r="L88" s="506">
        <f>Bajadas!K5</f>
        <v>87022.47938</v>
      </c>
      <c r="M88" s="506">
        <f>Bajadas!L5</f>
        <v>87254.52938</v>
      </c>
      <c r="N88" s="506">
        <f>Bajadas!K5</f>
        <v>87022.47938</v>
      </c>
      <c r="O88" s="506">
        <f>Bajadas!L5</f>
        <v>87254.52938</v>
      </c>
      <c r="P88" s="506">
        <f>Bajadas!K6</f>
        <v>84462.99469</v>
      </c>
      <c r="Q88" s="506">
        <f>Bajadas!L6</f>
        <v>84688.21969</v>
      </c>
      <c r="R88" s="506">
        <f>Bajadas!K7</f>
        <v>81903.51</v>
      </c>
      <c r="S88" s="506">
        <f>Bajadas!L7</f>
        <v>82121.91</v>
      </c>
      <c r="U88" s="494">
        <v>200.0</v>
      </c>
      <c r="V88" s="32">
        <v>250.0</v>
      </c>
      <c r="W88" s="32">
        <v>250.0</v>
      </c>
      <c r="X88" s="32">
        <v>250.0</v>
      </c>
      <c r="Y88" s="32">
        <v>250.0</v>
      </c>
      <c r="Z88" s="32">
        <v>250.0</v>
      </c>
      <c r="AA88" s="32">
        <v>250.0</v>
      </c>
      <c r="AB88" s="32">
        <v>250.0</v>
      </c>
      <c r="AC88" s="32">
        <v>250.0</v>
      </c>
      <c r="AE88" s="494">
        <v>200.0</v>
      </c>
      <c r="AF88" s="32">
        <v>500.0</v>
      </c>
      <c r="AG88" s="32">
        <v>500.0</v>
      </c>
      <c r="AH88" s="32">
        <v>500.0</v>
      </c>
      <c r="AI88" s="32">
        <v>500.0</v>
      </c>
      <c r="AJ88" s="32">
        <v>500.0</v>
      </c>
      <c r="AK88" s="32">
        <v>500.0</v>
      </c>
      <c r="AL88" s="32">
        <v>500.0</v>
      </c>
      <c r="AM88" s="32">
        <v>500.0</v>
      </c>
      <c r="AN88" s="523">
        <v>1.84</v>
      </c>
      <c r="AO88" s="494">
        <v>200.0</v>
      </c>
      <c r="AP88" s="507">
        <f t="shared" ref="AP88:AW88" si="215">B88*L88+V88</f>
        <v>1479632.149</v>
      </c>
      <c r="AQ88" s="507">
        <f t="shared" si="215"/>
        <v>1483576.999</v>
      </c>
      <c r="AR88" s="508">
        <f t="shared" si="215"/>
        <v>2001767.026</v>
      </c>
      <c r="AS88" s="508">
        <f t="shared" si="215"/>
        <v>2007104.176</v>
      </c>
      <c r="AT88" s="509">
        <f t="shared" si="215"/>
        <v>4223399.734</v>
      </c>
      <c r="AU88" s="509">
        <f t="shared" si="215"/>
        <v>4234660.984</v>
      </c>
      <c r="AV88" s="510">
        <f t="shared" si="215"/>
        <v>8190601</v>
      </c>
      <c r="AW88" s="510">
        <f t="shared" si="215"/>
        <v>8212441</v>
      </c>
      <c r="AX88" s="521"/>
      <c r="BA88" s="494">
        <v>200.0</v>
      </c>
      <c r="BB88" s="524">
        <v>184.1363</v>
      </c>
      <c r="BC88" s="524">
        <v>242.7863</v>
      </c>
      <c r="BD88" s="524">
        <v>224.4197</v>
      </c>
      <c r="BE88" s="524">
        <v>303.7697</v>
      </c>
      <c r="BF88" s="524">
        <v>360.695</v>
      </c>
      <c r="BG88" s="524">
        <v>525.695</v>
      </c>
      <c r="BH88" s="524">
        <v>616.3899999999999</v>
      </c>
      <c r="BI88" s="524">
        <v>946.3900000000001</v>
      </c>
    </row>
    <row r="89" ht="15.75" customHeight="1">
      <c r="A89" s="494">
        <v>300.0</v>
      </c>
      <c r="B89" s="36">
        <v>25.0</v>
      </c>
      <c r="C89" s="36">
        <v>25.0</v>
      </c>
      <c r="D89" s="36">
        <v>34.0</v>
      </c>
      <c r="E89" s="36">
        <v>34.0</v>
      </c>
      <c r="F89" s="36">
        <v>75.0</v>
      </c>
      <c r="G89" s="36">
        <v>75.0</v>
      </c>
      <c r="H89" s="36">
        <v>150.0</v>
      </c>
      <c r="I89" s="36">
        <v>150.0</v>
      </c>
      <c r="K89" s="494">
        <v>300.0</v>
      </c>
      <c r="L89" s="506">
        <f>Bajadas!K5</f>
        <v>87022.47938</v>
      </c>
      <c r="M89" s="506">
        <f>Bajadas!L5</f>
        <v>87254.52938</v>
      </c>
      <c r="N89" s="506">
        <f>Bajadas!K6</f>
        <v>84462.99469</v>
      </c>
      <c r="O89" s="506">
        <f>Bajadas!L6</f>
        <v>84688.21969</v>
      </c>
      <c r="P89" s="506">
        <f>Bajadas!K7</f>
        <v>81903.51</v>
      </c>
      <c r="Q89" s="506">
        <f>Bajadas!L7</f>
        <v>82121.91</v>
      </c>
      <c r="R89" s="506">
        <f>Bajadas!K8</f>
        <v>79344.02531</v>
      </c>
      <c r="S89" s="506">
        <f>Bajadas!L8</f>
        <v>79555.60031</v>
      </c>
      <c r="U89" s="494">
        <v>300.0</v>
      </c>
      <c r="V89" s="32">
        <v>350.0</v>
      </c>
      <c r="W89" s="32">
        <v>350.0</v>
      </c>
      <c r="X89" s="32">
        <v>350.0</v>
      </c>
      <c r="Y89" s="32">
        <v>350.0</v>
      </c>
      <c r="Z89" s="32">
        <v>350.0</v>
      </c>
      <c r="AA89" s="32">
        <v>350.0</v>
      </c>
      <c r="AB89" s="32">
        <v>350.0</v>
      </c>
      <c r="AC89" s="32">
        <v>350.0</v>
      </c>
      <c r="AE89" s="494">
        <v>300.0</v>
      </c>
      <c r="AF89" s="32">
        <v>700.0</v>
      </c>
      <c r="AG89" s="32">
        <v>700.0</v>
      </c>
      <c r="AH89" s="32">
        <v>700.0</v>
      </c>
      <c r="AI89" s="32">
        <v>700.0</v>
      </c>
      <c r="AJ89" s="32">
        <v>700.0</v>
      </c>
      <c r="AK89" s="32">
        <v>700.0</v>
      </c>
      <c r="AL89" s="32">
        <v>700.0</v>
      </c>
      <c r="AM89" s="32">
        <v>700.0</v>
      </c>
      <c r="AN89" s="523">
        <v>2.7</v>
      </c>
      <c r="AO89" s="494">
        <v>300.0</v>
      </c>
      <c r="AP89" s="507">
        <f t="shared" ref="AP89:AW89" si="216">B89*L89+V89</f>
        <v>2175911.984</v>
      </c>
      <c r="AQ89" s="507">
        <f t="shared" si="216"/>
        <v>2181713.234</v>
      </c>
      <c r="AR89" s="508">
        <f t="shared" si="216"/>
        <v>2872091.819</v>
      </c>
      <c r="AS89" s="508">
        <f t="shared" si="216"/>
        <v>2879749.469</v>
      </c>
      <c r="AT89" s="509">
        <f t="shared" si="216"/>
        <v>6143113.25</v>
      </c>
      <c r="AU89" s="509">
        <f t="shared" si="216"/>
        <v>6159493.25</v>
      </c>
      <c r="AV89" s="510">
        <f t="shared" si="216"/>
        <v>11901953.8</v>
      </c>
      <c r="AW89" s="510">
        <f t="shared" si="216"/>
        <v>11933690.05</v>
      </c>
      <c r="AX89" s="521"/>
      <c r="BA89" s="494">
        <v>300.0</v>
      </c>
      <c r="BB89" s="524">
        <v>237.8475</v>
      </c>
      <c r="BC89" s="524">
        <v>324.09749999999997</v>
      </c>
      <c r="BD89" s="524">
        <v>267.6726</v>
      </c>
      <c r="BE89" s="524">
        <v>379.87260000000003</v>
      </c>
      <c r="BF89" s="524">
        <v>494.7924999999999</v>
      </c>
      <c r="BG89" s="524">
        <v>742.2925</v>
      </c>
      <c r="BH89" s="524">
        <v>877.085</v>
      </c>
      <c r="BI89" s="524">
        <v>1349.5850000000003</v>
      </c>
    </row>
    <row r="90" ht="15.75" customHeight="1">
      <c r="A90" s="494">
        <v>500.0</v>
      </c>
      <c r="B90" s="36">
        <v>42.0</v>
      </c>
      <c r="C90" s="36">
        <v>42.0</v>
      </c>
      <c r="D90" s="36">
        <v>56.0</v>
      </c>
      <c r="E90" s="36">
        <v>56.0</v>
      </c>
      <c r="F90" s="36">
        <v>125.0</v>
      </c>
      <c r="G90" s="36">
        <v>125.0</v>
      </c>
      <c r="H90" s="36">
        <v>250.0</v>
      </c>
      <c r="I90" s="36">
        <v>250.0</v>
      </c>
      <c r="K90" s="494">
        <v>500.0</v>
      </c>
      <c r="L90" s="506">
        <f>Bajadas!K6</f>
        <v>84462.99469</v>
      </c>
      <c r="M90" s="506">
        <f>Bajadas!L6</f>
        <v>84688.21969</v>
      </c>
      <c r="N90" s="506">
        <f>Bajadas!K7</f>
        <v>81903.51</v>
      </c>
      <c r="O90" s="506">
        <f>Bajadas!L7</f>
        <v>82121.91</v>
      </c>
      <c r="P90" s="506">
        <f>Bajadas!K8</f>
        <v>79344.02531</v>
      </c>
      <c r="Q90" s="506">
        <f>Bajadas!L8</f>
        <v>79555.60031</v>
      </c>
      <c r="R90" s="506">
        <f>Bajadas!K8</f>
        <v>79344.02531</v>
      </c>
      <c r="S90" s="506">
        <f>Bajadas!L8</f>
        <v>79555.60031</v>
      </c>
      <c r="U90" s="494">
        <v>500.0</v>
      </c>
      <c r="V90" s="32">
        <v>500.0</v>
      </c>
      <c r="W90" s="32">
        <v>500.0</v>
      </c>
      <c r="X90" s="32">
        <v>500.0</v>
      </c>
      <c r="Y90" s="32">
        <v>500.0</v>
      </c>
      <c r="Z90" s="32">
        <v>500.0</v>
      </c>
      <c r="AA90" s="32">
        <v>500.0</v>
      </c>
      <c r="AB90" s="32">
        <v>500.0</v>
      </c>
      <c r="AC90" s="32">
        <v>500.0</v>
      </c>
      <c r="AE90" s="494">
        <v>500.0</v>
      </c>
      <c r="AF90" s="32">
        <v>1000.0</v>
      </c>
      <c r="AG90" s="32">
        <v>1000.0</v>
      </c>
      <c r="AH90" s="32">
        <v>1000.0</v>
      </c>
      <c r="AI90" s="32">
        <v>1000.0</v>
      </c>
      <c r="AJ90" s="32">
        <v>1000.0</v>
      </c>
      <c r="AK90" s="32">
        <v>1000.0</v>
      </c>
      <c r="AL90" s="32">
        <v>1000.0</v>
      </c>
      <c r="AM90" s="32">
        <v>1000.0</v>
      </c>
      <c r="AN90" s="523">
        <v>4.35</v>
      </c>
      <c r="AO90" s="494">
        <v>500.0</v>
      </c>
      <c r="AP90" s="507">
        <f t="shared" ref="AP90:AW90" si="217">B90*L90+V90</f>
        <v>3547945.777</v>
      </c>
      <c r="AQ90" s="507">
        <f t="shared" si="217"/>
        <v>3557405.227</v>
      </c>
      <c r="AR90" s="508">
        <f t="shared" si="217"/>
        <v>4587096.56</v>
      </c>
      <c r="AS90" s="508">
        <f t="shared" si="217"/>
        <v>4599326.96</v>
      </c>
      <c r="AT90" s="509">
        <f t="shared" si="217"/>
        <v>9918503.164</v>
      </c>
      <c r="AU90" s="509">
        <f t="shared" si="217"/>
        <v>9944950.039</v>
      </c>
      <c r="AV90" s="510">
        <f t="shared" si="217"/>
        <v>19836506.33</v>
      </c>
      <c r="AW90" s="510">
        <f t="shared" si="217"/>
        <v>19889400.08</v>
      </c>
      <c r="AX90" s="521"/>
      <c r="BA90" s="494">
        <v>500.0</v>
      </c>
      <c r="BB90" s="524">
        <v>314.18379999999996</v>
      </c>
      <c r="BC90" s="524">
        <v>452.78380000000004</v>
      </c>
      <c r="BD90" s="524">
        <v>387.17839999999995</v>
      </c>
      <c r="BE90" s="524">
        <v>571.9784</v>
      </c>
      <c r="BF90" s="524">
        <v>759.2375000000001</v>
      </c>
      <c r="BG90" s="524">
        <v>1152.9875000000002</v>
      </c>
      <c r="BH90" s="524">
        <v>1438.4750000000001</v>
      </c>
      <c r="BI90" s="524">
        <v>2225.9750000000004</v>
      </c>
    </row>
    <row r="91" ht="15.75" customHeight="1">
      <c r="A91" s="494">
        <v>1000.0</v>
      </c>
      <c r="B91" s="36">
        <v>84.0</v>
      </c>
      <c r="C91" s="36">
        <v>84.0</v>
      </c>
      <c r="D91" s="36">
        <v>112.0</v>
      </c>
      <c r="E91" s="36">
        <v>112.0</v>
      </c>
      <c r="F91" s="36">
        <v>250.0</v>
      </c>
      <c r="G91" s="36">
        <v>250.0</v>
      </c>
      <c r="H91" s="36">
        <v>500.0</v>
      </c>
      <c r="I91" s="36">
        <v>500.0</v>
      </c>
      <c r="K91" s="494">
        <v>1000.0</v>
      </c>
      <c r="L91" s="506">
        <f>Bajadas!K7</f>
        <v>81903.51</v>
      </c>
      <c r="M91" s="506">
        <f>Bajadas!L7</f>
        <v>82121.91</v>
      </c>
      <c r="N91" s="506">
        <f>Bajadas!K8</f>
        <v>79344.02531</v>
      </c>
      <c r="O91" s="506">
        <f>Bajadas!L8</f>
        <v>79555.60031</v>
      </c>
      <c r="P91" s="506">
        <f>Bajadas!K8</f>
        <v>79344.02531</v>
      </c>
      <c r="Q91" s="506">
        <f>Bajadas!L8</f>
        <v>79555.60031</v>
      </c>
      <c r="R91" s="506">
        <f>Bajadas!K9</f>
        <v>76784.54063</v>
      </c>
      <c r="S91" s="506">
        <f>Bajadas!L9</f>
        <v>76989.29063</v>
      </c>
      <c r="U91" s="494">
        <v>1000.0</v>
      </c>
      <c r="V91" s="32">
        <v>800.0</v>
      </c>
      <c r="W91" s="32">
        <v>800.0</v>
      </c>
      <c r="X91" s="32">
        <v>800.0</v>
      </c>
      <c r="Y91" s="32">
        <v>800.0</v>
      </c>
      <c r="Z91" s="32">
        <v>800.0</v>
      </c>
      <c r="AA91" s="32">
        <v>800.0</v>
      </c>
      <c r="AB91" s="32">
        <v>800.0</v>
      </c>
      <c r="AC91" s="32">
        <v>800.0</v>
      </c>
      <c r="AE91" s="494">
        <v>1000.0</v>
      </c>
      <c r="AF91" s="32">
        <v>1600.0</v>
      </c>
      <c r="AG91" s="32">
        <v>1600.0</v>
      </c>
      <c r="AH91" s="32">
        <v>1600.0</v>
      </c>
      <c r="AI91" s="32">
        <v>1600.0</v>
      </c>
      <c r="AJ91" s="32">
        <v>1600.0</v>
      </c>
      <c r="AK91" s="32">
        <v>1600.0</v>
      </c>
      <c r="AL91" s="32">
        <v>1600.0</v>
      </c>
      <c r="AM91" s="32">
        <v>1600.0</v>
      </c>
      <c r="AN91" s="523">
        <v>8.42</v>
      </c>
      <c r="AO91" s="494">
        <v>1000.0</v>
      </c>
      <c r="AP91" s="507">
        <f t="shared" ref="AP91:AW91" si="218">B91*L91+V91</f>
        <v>6880694.84</v>
      </c>
      <c r="AQ91" s="507">
        <f t="shared" si="218"/>
        <v>6899040.44</v>
      </c>
      <c r="AR91" s="508">
        <f t="shared" si="218"/>
        <v>8887330.835</v>
      </c>
      <c r="AS91" s="508">
        <f t="shared" si="218"/>
        <v>8911027.235</v>
      </c>
      <c r="AT91" s="509">
        <f t="shared" si="218"/>
        <v>19836806.33</v>
      </c>
      <c r="AU91" s="509">
        <f t="shared" si="218"/>
        <v>19889700.08</v>
      </c>
      <c r="AV91" s="510">
        <f t="shared" si="218"/>
        <v>38393070.31</v>
      </c>
      <c r="AW91" s="510">
        <f t="shared" si="218"/>
        <v>38495445.31</v>
      </c>
      <c r="AX91" s="521"/>
      <c r="BA91" s="494">
        <v>1000.0</v>
      </c>
      <c r="BB91" s="524">
        <v>545.7675999999999</v>
      </c>
      <c r="BC91" s="524">
        <v>822.9676000000001</v>
      </c>
      <c r="BD91" s="524">
        <v>687.5568000000001</v>
      </c>
      <c r="BE91" s="524">
        <v>1040.3568000000002</v>
      </c>
      <c r="BF91" s="524">
        <v>1438.4750000000001</v>
      </c>
      <c r="BG91" s="524">
        <v>2225.9750000000004</v>
      </c>
      <c r="BH91" s="524">
        <v>2751.9500000000003</v>
      </c>
      <c r="BI91" s="524">
        <v>4326.950000000001</v>
      </c>
    </row>
    <row r="92" ht="15.75" customHeight="1">
      <c r="A92" s="282"/>
      <c r="B92" s="36"/>
      <c r="C92" s="36"/>
      <c r="D92" s="36"/>
      <c r="E92" s="36"/>
      <c r="F92" s="36"/>
      <c r="G92" s="36"/>
      <c r="H92" s="36"/>
      <c r="I92" s="36"/>
      <c r="J92" s="3"/>
      <c r="K92" s="282"/>
      <c r="L92" s="336"/>
      <c r="M92" s="336"/>
      <c r="N92" s="336"/>
      <c r="O92" s="336"/>
      <c r="P92" s="336"/>
      <c r="Q92" s="336"/>
      <c r="R92" s="336"/>
      <c r="S92" s="336"/>
      <c r="T92" s="3"/>
      <c r="U92" s="282"/>
      <c r="V92" s="32"/>
      <c r="W92" s="32"/>
      <c r="X92" s="32"/>
      <c r="Y92" s="32"/>
      <c r="Z92" s="32"/>
      <c r="AA92" s="32"/>
      <c r="AB92" s="32"/>
      <c r="AC92" s="32"/>
      <c r="AD92" s="3"/>
      <c r="AE92" s="282"/>
      <c r="AF92" s="32"/>
      <c r="AG92" s="32"/>
      <c r="AH92" s="32"/>
      <c r="AI92" s="32"/>
      <c r="AJ92" s="32"/>
      <c r="AK92" s="32"/>
      <c r="AL92" s="32"/>
      <c r="AM92" s="32"/>
      <c r="AN92" s="525"/>
      <c r="AO92" s="526"/>
      <c r="AP92" s="527"/>
      <c r="AQ92" s="527"/>
      <c r="AR92" s="528"/>
      <c r="AS92" s="528"/>
      <c r="AT92" s="529"/>
      <c r="AU92" s="529"/>
      <c r="AV92" s="530"/>
      <c r="AW92" s="530"/>
      <c r="AX92" s="531"/>
      <c r="AY92" s="3"/>
      <c r="AZ92" s="3"/>
      <c r="BA92" s="282"/>
      <c r="BB92" s="532"/>
      <c r="BC92" s="532"/>
      <c r="BD92" s="532"/>
      <c r="BE92" s="532"/>
      <c r="BF92" s="532"/>
      <c r="BG92" s="532"/>
      <c r="BH92" s="532"/>
      <c r="BI92" s="532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</row>
    <row r="93" ht="15.75" customHeight="1">
      <c r="B93" s="502" t="s">
        <v>530</v>
      </c>
      <c r="C93" s="533">
        <v>12.0</v>
      </c>
      <c r="D93" s="502" t="s">
        <v>530</v>
      </c>
      <c r="E93" s="533">
        <v>9.0</v>
      </c>
      <c r="F93" s="502" t="s">
        <v>530</v>
      </c>
      <c r="G93" s="533">
        <v>4.0</v>
      </c>
      <c r="H93" s="502" t="s">
        <v>530</v>
      </c>
      <c r="I93" s="533">
        <v>2.0</v>
      </c>
      <c r="AN93" s="3"/>
      <c r="AO93" s="3"/>
      <c r="AP93" s="490" t="s">
        <v>504</v>
      </c>
      <c r="AQ93" s="491"/>
      <c r="AR93" s="491"/>
      <c r="AS93" s="491"/>
      <c r="AT93" s="491"/>
      <c r="AU93" s="491"/>
      <c r="AV93" s="491"/>
      <c r="AW93" s="534"/>
      <c r="AX93" s="3"/>
    </row>
    <row r="94" ht="15.75" customHeight="1">
      <c r="A94" s="3"/>
      <c r="B94" s="535"/>
      <c r="C94" s="536"/>
      <c r="D94" s="535"/>
      <c r="E94" s="536"/>
      <c r="F94" s="535"/>
      <c r="G94" s="536"/>
      <c r="H94" s="535"/>
      <c r="I94" s="53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2">
        <v>1.0</v>
      </c>
      <c r="AO94" s="494" t="s">
        <v>104</v>
      </c>
      <c r="AP94" s="498" t="s">
        <v>129</v>
      </c>
      <c r="AQ94" s="476"/>
      <c r="AR94" s="499" t="s">
        <v>125</v>
      </c>
      <c r="AS94" s="476"/>
      <c r="AT94" s="500" t="s">
        <v>121</v>
      </c>
      <c r="AU94" s="476"/>
      <c r="AV94" s="498" t="s">
        <v>16</v>
      </c>
      <c r="AW94" s="497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</row>
    <row r="95" ht="15.75" customHeight="1">
      <c r="A95" s="3"/>
      <c r="B95" s="535"/>
      <c r="C95" s="536"/>
      <c r="D95" s="535"/>
      <c r="E95" s="536"/>
      <c r="F95" s="535"/>
      <c r="G95" s="536"/>
      <c r="H95" s="535"/>
      <c r="I95" s="53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>
        <f>AP87/AN94</f>
        <v>783402.3144</v>
      </c>
      <c r="AO95" s="494" t="s">
        <v>524</v>
      </c>
      <c r="AP95" s="503" t="s">
        <v>10</v>
      </c>
      <c r="AQ95" s="504" t="s">
        <v>11</v>
      </c>
      <c r="AR95" s="504" t="s">
        <v>10</v>
      </c>
      <c r="AS95" s="504" t="s">
        <v>11</v>
      </c>
      <c r="AT95" s="503" t="s">
        <v>10</v>
      </c>
      <c r="AU95" s="504" t="s">
        <v>11</v>
      </c>
      <c r="AV95" s="504" t="s">
        <v>10</v>
      </c>
      <c r="AW95" s="504" t="s">
        <v>11</v>
      </c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</row>
    <row r="96" ht="15.75" customHeight="1">
      <c r="AO96" s="494">
        <v>100.0</v>
      </c>
      <c r="AP96" s="537">
        <f>AN95*AP83*AN87</f>
        <v>783402.3144</v>
      </c>
      <c r="AQ96" s="537">
        <f>AN95*AQ83*AN87</f>
        <v>1096763.24</v>
      </c>
      <c r="AR96" s="537">
        <f>AN95*AR83*AN87</f>
        <v>1018423.009</v>
      </c>
      <c r="AS96" s="537">
        <f>AN95*AS83*AN87</f>
        <v>1433626.235</v>
      </c>
      <c r="AT96" s="537">
        <f>AN95*AT83*AN87</f>
        <v>2068182.11</v>
      </c>
      <c r="AU96" s="537">
        <f>AN95*AU83*AN87</f>
        <v>2922090.633</v>
      </c>
      <c r="AV96" s="537">
        <f>AN95*AV83*AN87</f>
        <v>3956181.688</v>
      </c>
      <c r="AW96" s="537">
        <f>AN95*AW83*AN87</f>
        <v>5609160.571</v>
      </c>
    </row>
    <row r="97" ht="15.75" customHeight="1">
      <c r="AO97" s="494">
        <v>200.0</v>
      </c>
      <c r="AP97" s="537">
        <f>AN95*AP83*AN88</f>
        <v>1441460.258</v>
      </c>
      <c r="AQ97" s="537">
        <f>AN95*AP83*AN88</f>
        <v>1441460.258</v>
      </c>
      <c r="AR97" s="537">
        <f>AN95*AR83*AN88</f>
        <v>1873898.336</v>
      </c>
      <c r="AS97" s="537">
        <f>AN95*AS83*AN88</f>
        <v>2637872.273</v>
      </c>
      <c r="AT97" s="537">
        <f>AN95*AT83*AN88</f>
        <v>3805455.082</v>
      </c>
      <c r="AU97" s="537">
        <f>AN95*AU83*AN88</f>
        <v>5376646.764</v>
      </c>
      <c r="AV97" s="537">
        <f>AN95*AV83*AN88</f>
        <v>7279374.305</v>
      </c>
      <c r="AW97" s="537">
        <f>AN95*AW83*AN88</f>
        <v>10320855.45</v>
      </c>
    </row>
    <row r="98" ht="15.75" customHeight="1">
      <c r="A98" s="3" t="s">
        <v>485</v>
      </c>
      <c r="AO98" s="494">
        <v>300.0</v>
      </c>
      <c r="AP98" s="537">
        <f>AN95*AP83*AN89</f>
        <v>2115186.249</v>
      </c>
      <c r="AQ98" s="537">
        <f>AN95*AQ83*AN89</f>
        <v>2961260.748</v>
      </c>
      <c r="AR98" s="537">
        <f>AN95*AR83*AN89</f>
        <v>2749742.123</v>
      </c>
      <c r="AS98" s="537">
        <f>AN95*AS83*AN89</f>
        <v>3870790.835</v>
      </c>
      <c r="AT98" s="537">
        <f>AN95*AT83*AN89</f>
        <v>5584091.697</v>
      </c>
      <c r="AU98" s="537">
        <f>AN95*AU83*AN89</f>
        <v>7889644.708</v>
      </c>
      <c r="AV98" s="537">
        <f>AN95*AV83*AN89</f>
        <v>10681690.56</v>
      </c>
      <c r="AW98" s="537">
        <f>AN95*AW83*AN89</f>
        <v>15144733.54</v>
      </c>
      <c r="BA98" s="494" t="s">
        <v>524</v>
      </c>
    </row>
    <row r="99" ht="15.75" customHeight="1">
      <c r="A99" s="116" t="s">
        <v>531</v>
      </c>
      <c r="B99" s="116"/>
      <c r="AO99" s="494">
        <v>500.0</v>
      </c>
      <c r="AP99" s="537">
        <f>AN95*AP83*AN90</f>
        <v>3407800.068</v>
      </c>
      <c r="AQ99" s="537">
        <f>AN95*AQ83*AN90</f>
        <v>4770920.095</v>
      </c>
      <c r="AR99" s="537">
        <f>AN95*AR83*AN90</f>
        <v>4430140.088</v>
      </c>
      <c r="AS99" s="537">
        <f>AN95*AS83*AN90</f>
        <v>6236274.124</v>
      </c>
      <c r="AT99" s="537">
        <f>AN95*AT83*AN90</f>
        <v>8996592.178</v>
      </c>
      <c r="AU99" s="537">
        <f>AN95*AU83*AN90</f>
        <v>12711094.25</v>
      </c>
      <c r="AV99" s="537">
        <f>AN95*AV83*AN90</f>
        <v>17209390.34</v>
      </c>
      <c r="AW99" s="537">
        <f>AN95*AW83*AN90</f>
        <v>24399848.48</v>
      </c>
      <c r="BA99" s="3" t="s">
        <v>532</v>
      </c>
    </row>
    <row r="100" ht="15.75" customHeight="1">
      <c r="A100" s="116" t="s">
        <v>533</v>
      </c>
      <c r="B100" s="116"/>
      <c r="AO100" s="494">
        <v>1000.0</v>
      </c>
      <c r="AP100" s="537">
        <f>AN95*AP83*AN91</f>
        <v>6596247.487</v>
      </c>
      <c r="AQ100" s="537">
        <f>AN95*AQ83*AN91</f>
        <v>9234746.482</v>
      </c>
      <c r="AR100" s="537">
        <f>AN95*AR83*AN91</f>
        <v>8575121.733</v>
      </c>
      <c r="AS100" s="537">
        <f>AN95*AS83*AN91</f>
        <v>12071132.9</v>
      </c>
      <c r="AT100" s="537">
        <f>AN95*AT83*AN91</f>
        <v>17414093.37</v>
      </c>
      <c r="AU100" s="537">
        <f>AN95*AU83*AN91</f>
        <v>24604003.13</v>
      </c>
      <c r="AV100" s="537">
        <f>AN95*AV83*AN91</f>
        <v>33311049.81</v>
      </c>
      <c r="AW100" s="537">
        <f>AN95*AW83*AN91</f>
        <v>47229132.01</v>
      </c>
      <c r="BA100" s="3" t="s">
        <v>534</v>
      </c>
    </row>
    <row r="101" ht="15.75" customHeight="1">
      <c r="B101" s="496" t="s">
        <v>528</v>
      </c>
      <c r="C101" s="515"/>
      <c r="D101" s="515"/>
      <c r="E101" s="515"/>
      <c r="F101" s="515"/>
      <c r="G101" s="515"/>
      <c r="H101" s="515"/>
      <c r="I101" s="476"/>
      <c r="L101" s="496" t="s">
        <v>490</v>
      </c>
      <c r="M101" s="515"/>
      <c r="N101" s="515"/>
      <c r="O101" s="515"/>
      <c r="P101" s="515"/>
      <c r="Q101" s="515"/>
      <c r="R101" s="515"/>
      <c r="S101" s="476"/>
      <c r="U101" s="490" t="s">
        <v>492</v>
      </c>
      <c r="V101" s="491"/>
      <c r="W101" s="491"/>
      <c r="X101" s="491"/>
      <c r="Y101" s="491"/>
      <c r="Z101" s="491"/>
      <c r="AA101" s="491"/>
      <c r="AB101" s="491"/>
      <c r="AC101" s="492"/>
      <c r="AO101" s="3"/>
      <c r="AP101" s="496" t="s">
        <v>504</v>
      </c>
      <c r="AQ101" s="515"/>
      <c r="AR101" s="515"/>
      <c r="AS101" s="515"/>
      <c r="AT101" s="515"/>
      <c r="AU101" s="515"/>
      <c r="AV101" s="515"/>
      <c r="AW101" s="476"/>
      <c r="BA101" s="514" t="s">
        <v>529</v>
      </c>
      <c r="BB101" s="515"/>
      <c r="BC101" s="515"/>
      <c r="BD101" s="515"/>
      <c r="BE101" s="515"/>
      <c r="BF101" s="515"/>
      <c r="BG101" s="515"/>
      <c r="BH101" s="515"/>
      <c r="BI101" s="476"/>
    </row>
    <row r="102" ht="15.75" customHeight="1">
      <c r="A102" s="494" t="s">
        <v>104</v>
      </c>
      <c r="B102" s="496" t="s">
        <v>129</v>
      </c>
      <c r="C102" s="476"/>
      <c r="D102" s="496" t="s">
        <v>125</v>
      </c>
      <c r="E102" s="476"/>
      <c r="F102" s="496" t="s">
        <v>121</v>
      </c>
      <c r="G102" s="476"/>
      <c r="H102" s="496" t="s">
        <v>16</v>
      </c>
      <c r="I102" s="476"/>
      <c r="K102" s="494" t="s">
        <v>104</v>
      </c>
      <c r="L102" s="496" t="s">
        <v>129</v>
      </c>
      <c r="M102" s="476"/>
      <c r="N102" s="496" t="s">
        <v>125</v>
      </c>
      <c r="O102" s="476"/>
      <c r="P102" s="496" t="s">
        <v>121</v>
      </c>
      <c r="Q102" s="476"/>
      <c r="R102" s="496" t="s">
        <v>16</v>
      </c>
      <c r="S102" s="476"/>
      <c r="U102" s="494" t="s">
        <v>104</v>
      </c>
      <c r="V102" s="496" t="s">
        <v>473</v>
      </c>
      <c r="W102" s="476"/>
      <c r="X102" s="496" t="s">
        <v>71</v>
      </c>
      <c r="Y102" s="476"/>
      <c r="Z102" s="496" t="s">
        <v>494</v>
      </c>
      <c r="AA102" s="476"/>
      <c r="AB102" s="496" t="s">
        <v>495</v>
      </c>
      <c r="AC102" s="497"/>
      <c r="AO102" s="494" t="s">
        <v>104</v>
      </c>
      <c r="AP102" s="496" t="s">
        <v>129</v>
      </c>
      <c r="AQ102" s="476"/>
      <c r="AR102" s="496" t="s">
        <v>125</v>
      </c>
      <c r="AS102" s="476"/>
      <c r="AT102" s="496" t="s">
        <v>121</v>
      </c>
      <c r="AU102" s="476"/>
      <c r="AV102" s="496" t="s">
        <v>16</v>
      </c>
      <c r="AW102" s="476"/>
      <c r="BA102" s="494" t="s">
        <v>524</v>
      </c>
      <c r="BB102" s="496" t="s">
        <v>129</v>
      </c>
      <c r="BC102" s="476"/>
      <c r="BD102" s="496" t="s">
        <v>125</v>
      </c>
      <c r="BE102" s="476"/>
      <c r="BF102" s="496" t="s">
        <v>121</v>
      </c>
      <c r="BG102" s="476"/>
      <c r="BH102" s="496" t="s">
        <v>16</v>
      </c>
      <c r="BI102" s="476"/>
    </row>
    <row r="103" ht="15.75" customHeight="1">
      <c r="A103" s="494" t="s">
        <v>524</v>
      </c>
      <c r="B103" s="494" t="s">
        <v>10</v>
      </c>
      <c r="C103" s="502" t="s">
        <v>11</v>
      </c>
      <c r="D103" s="494" t="s">
        <v>10</v>
      </c>
      <c r="E103" s="502" t="s">
        <v>11</v>
      </c>
      <c r="F103" s="494" t="s">
        <v>10</v>
      </c>
      <c r="G103" s="502" t="s">
        <v>11</v>
      </c>
      <c r="H103" s="494" t="s">
        <v>10</v>
      </c>
      <c r="I103" s="502" t="s">
        <v>11</v>
      </c>
      <c r="K103" s="494" t="s">
        <v>524</v>
      </c>
      <c r="L103" s="494" t="s">
        <v>10</v>
      </c>
      <c r="M103" s="502" t="s">
        <v>11</v>
      </c>
      <c r="N103" s="494" t="s">
        <v>10</v>
      </c>
      <c r="O103" s="502" t="s">
        <v>11</v>
      </c>
      <c r="P103" s="494" t="s">
        <v>10</v>
      </c>
      <c r="Q103" s="502" t="s">
        <v>11</v>
      </c>
      <c r="R103" s="494" t="s">
        <v>10</v>
      </c>
      <c r="S103" s="502" t="s">
        <v>11</v>
      </c>
      <c r="U103" s="494" t="s">
        <v>521</v>
      </c>
      <c r="V103" s="494" t="s">
        <v>10</v>
      </c>
      <c r="W103" s="502" t="s">
        <v>11</v>
      </c>
      <c r="X103" s="502" t="s">
        <v>10</v>
      </c>
      <c r="Y103" s="502" t="s">
        <v>11</v>
      </c>
      <c r="Z103" s="494" t="s">
        <v>10</v>
      </c>
      <c r="AA103" s="502" t="s">
        <v>11</v>
      </c>
      <c r="AB103" s="502" t="s">
        <v>10</v>
      </c>
      <c r="AC103" s="502" t="s">
        <v>11</v>
      </c>
      <c r="AO103" s="494" t="s">
        <v>524</v>
      </c>
      <c r="AP103" s="494" t="s">
        <v>10</v>
      </c>
      <c r="AQ103" s="502" t="s">
        <v>11</v>
      </c>
      <c r="AR103" s="494" t="s">
        <v>10</v>
      </c>
      <c r="AS103" s="502" t="s">
        <v>11</v>
      </c>
      <c r="AT103" s="494" t="s">
        <v>10</v>
      </c>
      <c r="AU103" s="502" t="s">
        <v>11</v>
      </c>
      <c r="AV103" s="494" t="s">
        <v>10</v>
      </c>
      <c r="AW103" s="502" t="s">
        <v>11</v>
      </c>
      <c r="BA103" s="494" t="s">
        <v>104</v>
      </c>
      <c r="BB103" s="494" t="s">
        <v>40</v>
      </c>
      <c r="BC103" s="502" t="s">
        <v>41</v>
      </c>
      <c r="BD103" s="494" t="s">
        <v>40</v>
      </c>
      <c r="BE103" s="502" t="s">
        <v>41</v>
      </c>
      <c r="BF103" s="494" t="s">
        <v>40</v>
      </c>
      <c r="BG103" s="502" t="s">
        <v>41</v>
      </c>
      <c r="BH103" s="494" t="s">
        <v>40</v>
      </c>
      <c r="BI103" s="502" t="s">
        <v>41</v>
      </c>
    </row>
    <row r="104" ht="15.75" customHeight="1">
      <c r="A104" s="494">
        <v>100.0</v>
      </c>
      <c r="B104" s="36">
        <v>9.0</v>
      </c>
      <c r="C104" s="36">
        <v>9.0</v>
      </c>
      <c r="D104" s="36">
        <v>12.0</v>
      </c>
      <c r="E104" s="36">
        <v>12.0</v>
      </c>
      <c r="F104" s="36">
        <v>25.0</v>
      </c>
      <c r="G104" s="36">
        <v>25.0</v>
      </c>
      <c r="H104" s="36">
        <v>50.0</v>
      </c>
      <c r="I104" s="36">
        <v>50.0</v>
      </c>
      <c r="K104" s="494">
        <v>100.0</v>
      </c>
      <c r="L104" s="506">
        <f>Bajadas!O48</f>
        <v>52080.88763</v>
      </c>
      <c r="M104" s="506">
        <f>Bajadas!P48</f>
        <v>52127.29763</v>
      </c>
      <c r="N104" s="506">
        <f>Bajadas!O48</f>
        <v>52080.88763</v>
      </c>
      <c r="O104" s="506">
        <f>Bajadas!P48</f>
        <v>52127.29763</v>
      </c>
      <c r="P104" s="506">
        <f>Bajadas!O48</f>
        <v>52080.88763</v>
      </c>
      <c r="Q104" s="506">
        <f>Bajadas!P48</f>
        <v>52127.29763</v>
      </c>
      <c r="R104" s="506">
        <f>Bajadas!O48</f>
        <v>52080.88763</v>
      </c>
      <c r="S104" s="506">
        <f>Bajadas!P48</f>
        <v>52127.29763</v>
      </c>
      <c r="U104" s="494">
        <v>100.0</v>
      </c>
      <c r="V104" s="32">
        <v>200.0</v>
      </c>
      <c r="W104" s="32">
        <v>200.0</v>
      </c>
      <c r="X104" s="32">
        <v>200.0</v>
      </c>
      <c r="Y104" s="32">
        <v>200.0</v>
      </c>
      <c r="Z104" s="32">
        <v>200.0</v>
      </c>
      <c r="AA104" s="32">
        <v>200.0</v>
      </c>
      <c r="AB104" s="32">
        <v>200.0</v>
      </c>
      <c r="AC104" s="32">
        <v>200.0</v>
      </c>
      <c r="AO104" s="494">
        <v>100.0</v>
      </c>
      <c r="AP104" s="538">
        <f t="shared" ref="AP104:AW104" si="219">B104*L104+V104</f>
        <v>468927.9886</v>
      </c>
      <c r="AQ104" s="538">
        <f t="shared" si="219"/>
        <v>469345.6786</v>
      </c>
      <c r="AR104" s="538">
        <f t="shared" si="219"/>
        <v>625170.6515</v>
      </c>
      <c r="AS104" s="538">
        <f t="shared" si="219"/>
        <v>625727.5715</v>
      </c>
      <c r="AT104" s="538">
        <f t="shared" si="219"/>
        <v>1302222.191</v>
      </c>
      <c r="AU104" s="538">
        <f t="shared" si="219"/>
        <v>1303382.441</v>
      </c>
      <c r="AV104" s="538">
        <f t="shared" si="219"/>
        <v>2604244.381</v>
      </c>
      <c r="AW104" s="538">
        <f t="shared" si="219"/>
        <v>2606564.881</v>
      </c>
      <c r="BA104" s="494">
        <v>100.0</v>
      </c>
      <c r="BB104" s="511">
        <v>88.8793</v>
      </c>
      <c r="BC104" s="511">
        <v>96.9793</v>
      </c>
      <c r="BD104" s="511">
        <v>95.1724</v>
      </c>
      <c r="BE104" s="511">
        <v>105.9724</v>
      </c>
      <c r="BF104" s="511">
        <v>122.4425</v>
      </c>
      <c r="BG104" s="511">
        <v>144.9425</v>
      </c>
      <c r="BH104" s="511">
        <v>154.885</v>
      </c>
      <c r="BI104" s="511">
        <v>199.885</v>
      </c>
    </row>
    <row r="105" ht="15.75" customHeight="1">
      <c r="A105" s="494">
        <v>200.0</v>
      </c>
      <c r="B105" s="36">
        <v>17.0</v>
      </c>
      <c r="C105" s="36">
        <v>17.0</v>
      </c>
      <c r="D105" s="36">
        <v>23.0</v>
      </c>
      <c r="E105" s="36">
        <v>23.0</v>
      </c>
      <c r="F105" s="36">
        <v>50.0</v>
      </c>
      <c r="G105" s="36">
        <v>50.0</v>
      </c>
      <c r="H105" s="36">
        <v>100.0</v>
      </c>
      <c r="I105" s="36">
        <v>100.0</v>
      </c>
      <c r="K105" s="494">
        <v>200.0</v>
      </c>
      <c r="L105" s="506">
        <f>Bajadas!O48</f>
        <v>52080.88763</v>
      </c>
      <c r="M105" s="506">
        <f>Bajadas!P48</f>
        <v>52127.29763</v>
      </c>
      <c r="N105" s="506">
        <f>Bajadas!O48</f>
        <v>52080.88763</v>
      </c>
      <c r="O105" s="506">
        <f>Bajadas!P48</f>
        <v>52127.29763</v>
      </c>
      <c r="P105" s="506">
        <f>Bajadas!O48</f>
        <v>52080.88763</v>
      </c>
      <c r="Q105" s="506">
        <f>Bajadas!P48</f>
        <v>52127.29763</v>
      </c>
      <c r="R105" s="506">
        <f>Bajadas!O49</f>
        <v>50549.09681</v>
      </c>
      <c r="S105" s="506">
        <f>Bajadas!P49</f>
        <v>50594.14181</v>
      </c>
      <c r="U105" s="494">
        <v>200.0</v>
      </c>
      <c r="V105" s="32">
        <v>250.0</v>
      </c>
      <c r="W105" s="32">
        <v>250.0</v>
      </c>
      <c r="X105" s="32">
        <v>250.0</v>
      </c>
      <c r="Y105" s="32">
        <v>250.0</v>
      </c>
      <c r="Z105" s="32">
        <v>250.0</v>
      </c>
      <c r="AA105" s="32">
        <v>250.0</v>
      </c>
      <c r="AB105" s="32">
        <v>250.0</v>
      </c>
      <c r="AC105" s="32">
        <v>250.0</v>
      </c>
      <c r="AO105" s="494">
        <v>200.0</v>
      </c>
      <c r="AP105" s="538">
        <f t="shared" ref="AP105:AW105" si="220">B105*L105+V105</f>
        <v>885625.0896</v>
      </c>
      <c r="AQ105" s="538">
        <f t="shared" si="220"/>
        <v>886414.0596</v>
      </c>
      <c r="AR105" s="538">
        <f t="shared" si="220"/>
        <v>1198110.415</v>
      </c>
      <c r="AS105" s="538">
        <f t="shared" si="220"/>
        <v>1199177.845</v>
      </c>
      <c r="AT105" s="538">
        <f t="shared" si="220"/>
        <v>2604294.381</v>
      </c>
      <c r="AU105" s="538">
        <f t="shared" si="220"/>
        <v>2606614.881</v>
      </c>
      <c r="AV105" s="538">
        <f t="shared" si="220"/>
        <v>5055159.681</v>
      </c>
      <c r="AW105" s="538">
        <f t="shared" si="220"/>
        <v>5059664.181</v>
      </c>
      <c r="BA105" s="494">
        <v>200.0</v>
      </c>
      <c r="BB105" s="511">
        <v>105.6609</v>
      </c>
      <c r="BC105" s="511">
        <v>120.96090000000001</v>
      </c>
      <c r="BD105" s="511">
        <v>118.24709999999999</v>
      </c>
      <c r="BE105" s="511">
        <v>138.9471</v>
      </c>
      <c r="BF105" s="511">
        <v>174.885</v>
      </c>
      <c r="BG105" s="511">
        <v>219.885</v>
      </c>
      <c r="BH105" s="511">
        <v>244.77</v>
      </c>
      <c r="BI105" s="511">
        <v>319.77000000000004</v>
      </c>
    </row>
    <row r="106" ht="15.75" customHeight="1">
      <c r="A106" s="494">
        <v>300.0</v>
      </c>
      <c r="B106" s="36">
        <v>25.0</v>
      </c>
      <c r="C106" s="36">
        <v>25.0</v>
      </c>
      <c r="D106" s="36">
        <v>34.0</v>
      </c>
      <c r="E106" s="36">
        <v>34.0</v>
      </c>
      <c r="F106" s="36">
        <v>75.0</v>
      </c>
      <c r="G106" s="36">
        <v>75.0</v>
      </c>
      <c r="H106" s="36">
        <v>150.0</v>
      </c>
      <c r="I106" s="36">
        <v>150.0</v>
      </c>
      <c r="K106" s="494">
        <v>300.0</v>
      </c>
      <c r="L106" s="506">
        <f>Bajadas!O48</f>
        <v>52080.88763</v>
      </c>
      <c r="M106" s="506">
        <f>Bajadas!P48</f>
        <v>52127.29763</v>
      </c>
      <c r="N106" s="506">
        <f>Bajadas!O48</f>
        <v>52080.88763</v>
      </c>
      <c r="O106" s="506">
        <f>Bajadas!P48</f>
        <v>52127.29763</v>
      </c>
      <c r="P106" s="506">
        <f>Bajadas!O49</f>
        <v>50549.09681</v>
      </c>
      <c r="Q106" s="506">
        <f>Bajadas!P49</f>
        <v>50594.14181</v>
      </c>
      <c r="R106" s="506">
        <f>Bajadas!O50</f>
        <v>49017.306</v>
      </c>
      <c r="S106" s="506">
        <f>Bajadas!P50</f>
        <v>49060.986</v>
      </c>
      <c r="U106" s="494">
        <v>300.0</v>
      </c>
      <c r="V106" s="32">
        <v>350.0</v>
      </c>
      <c r="W106" s="32">
        <v>350.0</v>
      </c>
      <c r="X106" s="32">
        <v>350.0</v>
      </c>
      <c r="Y106" s="32">
        <v>350.0</v>
      </c>
      <c r="Z106" s="32">
        <v>350.0</v>
      </c>
      <c r="AA106" s="32">
        <v>350.0</v>
      </c>
      <c r="AB106" s="32">
        <v>350.0</v>
      </c>
      <c r="AC106" s="32">
        <v>350.0</v>
      </c>
      <c r="AO106" s="494">
        <v>300.0</v>
      </c>
      <c r="AP106" s="538">
        <f t="shared" ref="AP106:AW106" si="221">B106*L106+V106</f>
        <v>1302372.191</v>
      </c>
      <c r="AQ106" s="538">
        <f t="shared" si="221"/>
        <v>1303532.441</v>
      </c>
      <c r="AR106" s="538">
        <f t="shared" si="221"/>
        <v>1771100.179</v>
      </c>
      <c r="AS106" s="538">
        <f t="shared" si="221"/>
        <v>1772678.119</v>
      </c>
      <c r="AT106" s="538">
        <f t="shared" si="221"/>
        <v>3791532.261</v>
      </c>
      <c r="AU106" s="538">
        <f t="shared" si="221"/>
        <v>3794910.636</v>
      </c>
      <c r="AV106" s="538">
        <f t="shared" si="221"/>
        <v>7352945.9</v>
      </c>
      <c r="AW106" s="538">
        <f t="shared" si="221"/>
        <v>7359497.9</v>
      </c>
      <c r="BA106" s="494">
        <v>300.0</v>
      </c>
      <c r="BB106" s="511">
        <v>122.4425</v>
      </c>
      <c r="BC106" s="511">
        <v>144.9425</v>
      </c>
      <c r="BD106" s="511">
        <v>141.3218</v>
      </c>
      <c r="BE106" s="511">
        <v>171.92180000000002</v>
      </c>
      <c r="BF106" s="511">
        <v>216.0775</v>
      </c>
      <c r="BG106" s="511">
        <v>272.3275</v>
      </c>
      <c r="BH106" s="511">
        <v>319.655</v>
      </c>
      <c r="BI106" s="511">
        <v>432.155</v>
      </c>
    </row>
    <row r="107" ht="15.75" customHeight="1">
      <c r="A107" s="494">
        <v>500.0</v>
      </c>
      <c r="B107" s="36">
        <v>42.0</v>
      </c>
      <c r="C107" s="36">
        <v>42.0</v>
      </c>
      <c r="D107" s="36">
        <v>56.0</v>
      </c>
      <c r="E107" s="36">
        <v>56.0</v>
      </c>
      <c r="F107" s="36">
        <v>125.0</v>
      </c>
      <c r="G107" s="36">
        <v>125.0</v>
      </c>
      <c r="H107" s="36">
        <v>250.0</v>
      </c>
      <c r="I107" s="36">
        <v>250.0</v>
      </c>
      <c r="K107" s="494">
        <v>500.0</v>
      </c>
      <c r="L107" s="506">
        <f>Bajadas!O48</f>
        <v>52080.88763</v>
      </c>
      <c r="M107" s="506">
        <f>Bajadas!P48</f>
        <v>52127.29763</v>
      </c>
      <c r="N107" s="506">
        <f>Bajadas!O49</f>
        <v>50549.09681</v>
      </c>
      <c r="O107" s="506">
        <f>Bajadas!P49</f>
        <v>50594.14181</v>
      </c>
      <c r="P107" s="506">
        <f>Bajadas!O50</f>
        <v>49017.306</v>
      </c>
      <c r="Q107" s="506">
        <f>Bajadas!P50</f>
        <v>49060.986</v>
      </c>
      <c r="R107" s="506">
        <f>Bajadas!O50</f>
        <v>49017.306</v>
      </c>
      <c r="S107" s="506">
        <f>Bajadas!P50</f>
        <v>49060.986</v>
      </c>
      <c r="U107" s="494">
        <v>500.0</v>
      </c>
      <c r="V107" s="32">
        <v>500.0</v>
      </c>
      <c r="W107" s="32">
        <v>500.0</v>
      </c>
      <c r="X107" s="32">
        <v>500.0</v>
      </c>
      <c r="Y107" s="32">
        <v>500.0</v>
      </c>
      <c r="Z107" s="32">
        <v>500.0</v>
      </c>
      <c r="AA107" s="32">
        <v>500.0</v>
      </c>
      <c r="AB107" s="32">
        <v>500.0</v>
      </c>
      <c r="AC107" s="32">
        <v>500.0</v>
      </c>
      <c r="AO107" s="494">
        <v>500.0</v>
      </c>
      <c r="AP107" s="538">
        <f t="shared" ref="AP107:AW107" si="222">B107*L107+V107</f>
        <v>2187897.28</v>
      </c>
      <c r="AQ107" s="538">
        <f t="shared" si="222"/>
        <v>2189846.5</v>
      </c>
      <c r="AR107" s="538">
        <f t="shared" si="222"/>
        <v>2831249.422</v>
      </c>
      <c r="AS107" s="538">
        <f t="shared" si="222"/>
        <v>2833771.942</v>
      </c>
      <c r="AT107" s="538">
        <f t="shared" si="222"/>
        <v>6127663.25</v>
      </c>
      <c r="AU107" s="538">
        <f t="shared" si="222"/>
        <v>6133123.25</v>
      </c>
      <c r="AV107" s="538">
        <f t="shared" si="222"/>
        <v>12254826.5</v>
      </c>
      <c r="AW107" s="538">
        <f t="shared" si="222"/>
        <v>12265746.5</v>
      </c>
      <c r="BA107" s="494">
        <v>500.0</v>
      </c>
      <c r="BB107" s="511">
        <v>158.1034</v>
      </c>
      <c r="BC107" s="511">
        <v>195.9034</v>
      </c>
      <c r="BD107" s="511">
        <v>179.0712</v>
      </c>
      <c r="BE107" s="511">
        <v>221.0712</v>
      </c>
      <c r="BF107" s="511">
        <v>294.7125</v>
      </c>
      <c r="BG107" s="511">
        <v>388.4625</v>
      </c>
      <c r="BH107" s="511">
        <v>509.42499999999995</v>
      </c>
      <c r="BI107" s="511">
        <v>696.925</v>
      </c>
    </row>
    <row r="108" ht="15.75" customHeight="1">
      <c r="A108" s="494">
        <v>1000.0</v>
      </c>
      <c r="B108" s="36">
        <v>84.0</v>
      </c>
      <c r="C108" s="36">
        <v>84.0</v>
      </c>
      <c r="D108" s="36">
        <v>112.0</v>
      </c>
      <c r="E108" s="36">
        <v>112.0</v>
      </c>
      <c r="F108" s="36">
        <v>250.0</v>
      </c>
      <c r="G108" s="36">
        <v>250.0</v>
      </c>
      <c r="H108" s="36">
        <v>500.0</v>
      </c>
      <c r="I108" s="36">
        <v>500.0</v>
      </c>
      <c r="K108" s="494">
        <v>1000.0</v>
      </c>
      <c r="L108" s="506">
        <f>Bajadas!O49</f>
        <v>50549.09681</v>
      </c>
      <c r="M108" s="506">
        <f>Bajadas!P49</f>
        <v>50594.14181</v>
      </c>
      <c r="N108" s="506">
        <f>Bajadas!O50</f>
        <v>49017.306</v>
      </c>
      <c r="O108" s="506">
        <f>Bajadas!P50</f>
        <v>49060.986</v>
      </c>
      <c r="P108" s="506">
        <f>Bajadas!O50</f>
        <v>49017.306</v>
      </c>
      <c r="Q108" s="506">
        <f>Bajadas!P50</f>
        <v>49060.986</v>
      </c>
      <c r="R108" s="506">
        <f>Bajadas!O50</f>
        <v>49017.306</v>
      </c>
      <c r="S108" s="506">
        <f>Bajadas!P50</f>
        <v>49060.986</v>
      </c>
      <c r="U108" s="494">
        <v>1000.0</v>
      </c>
      <c r="V108" s="32">
        <v>800.0</v>
      </c>
      <c r="W108" s="32">
        <v>800.0</v>
      </c>
      <c r="X108" s="32">
        <v>800.0</v>
      </c>
      <c r="Y108" s="32">
        <v>800.0</v>
      </c>
      <c r="Z108" s="32">
        <v>800.0</v>
      </c>
      <c r="AA108" s="32">
        <v>800.0</v>
      </c>
      <c r="AB108" s="32">
        <v>800.0</v>
      </c>
      <c r="AC108" s="32">
        <v>800.0</v>
      </c>
      <c r="AO108" s="494">
        <v>1000.0</v>
      </c>
      <c r="AP108" s="538">
        <f t="shared" ref="AP108:AW108" si="223">B108*L108+V108</f>
        <v>4246924.132</v>
      </c>
      <c r="AQ108" s="538">
        <f t="shared" si="223"/>
        <v>4250707.912</v>
      </c>
      <c r="AR108" s="538">
        <f t="shared" si="223"/>
        <v>5490738.272</v>
      </c>
      <c r="AS108" s="538">
        <f t="shared" si="223"/>
        <v>5495630.432</v>
      </c>
      <c r="AT108" s="538">
        <f t="shared" si="223"/>
        <v>12255126.5</v>
      </c>
      <c r="AU108" s="538">
        <f t="shared" si="223"/>
        <v>12266046.5</v>
      </c>
      <c r="AV108" s="538">
        <f t="shared" si="223"/>
        <v>24509453</v>
      </c>
      <c r="AW108" s="538">
        <f t="shared" si="223"/>
        <v>24531293</v>
      </c>
      <c r="BA108" s="494">
        <v>1000.0</v>
      </c>
      <c r="BB108" s="511">
        <v>233.6068</v>
      </c>
      <c r="BC108" s="511">
        <v>296.6068</v>
      </c>
      <c r="BD108" s="511">
        <v>271.3424</v>
      </c>
      <c r="BE108" s="511">
        <v>355.3424</v>
      </c>
      <c r="BF108" s="511">
        <v>509.42499999999995</v>
      </c>
      <c r="BG108" s="511">
        <v>696.925</v>
      </c>
      <c r="BH108" s="511">
        <v>968.8499999999999</v>
      </c>
      <c r="BI108" s="511">
        <v>1343.85</v>
      </c>
    </row>
    <row r="109" ht="15.75" customHeight="1">
      <c r="B109" s="502" t="s">
        <v>530</v>
      </c>
      <c r="C109" s="533">
        <v>12.0</v>
      </c>
      <c r="D109" s="502" t="s">
        <v>530</v>
      </c>
      <c r="E109" s="533">
        <v>9.0</v>
      </c>
      <c r="F109" s="502" t="s">
        <v>530</v>
      </c>
      <c r="G109" s="533">
        <v>4.0</v>
      </c>
      <c r="H109" s="502" t="s">
        <v>530</v>
      </c>
      <c r="I109" s="533">
        <v>2.0</v>
      </c>
    </row>
    <row r="110" ht="15.75" customHeight="1">
      <c r="U110" s="282">
        <v>101.0</v>
      </c>
      <c r="V110" s="3">
        <v>50.0</v>
      </c>
      <c r="W110" s="85">
        <f>IF((U110/V110)&lt;=2,50,((U110/V110)-2)*15)</f>
        <v>0.3</v>
      </c>
    </row>
    <row r="111" ht="15.75" customHeight="1">
      <c r="A111" s="28" t="s">
        <v>535</v>
      </c>
    </row>
    <row r="112" ht="15.75" customHeight="1">
      <c r="A112" s="3" t="s">
        <v>485</v>
      </c>
      <c r="V112" s="3">
        <f>ROUNDUP(1.2,0)</f>
        <v>2</v>
      </c>
      <c r="BA112" s="494" t="s">
        <v>535</v>
      </c>
      <c r="BB112" s="3">
        <v>1.3</v>
      </c>
      <c r="BC112" s="3">
        <v>1.3</v>
      </c>
      <c r="BD112" s="3">
        <v>1.3</v>
      </c>
      <c r="BE112" s="3">
        <v>1.3</v>
      </c>
      <c r="BF112" s="3"/>
      <c r="BG112" s="494"/>
      <c r="BH112" s="3">
        <v>1.3</v>
      </c>
      <c r="BI112" s="3">
        <v>1.3</v>
      </c>
      <c r="BJ112" s="3">
        <v>1.3</v>
      </c>
      <c r="BK112" s="3">
        <v>1.3</v>
      </c>
    </row>
    <row r="113" ht="15.75" customHeight="1">
      <c r="A113" s="3" t="s">
        <v>536</v>
      </c>
      <c r="BA113" s="3" t="s">
        <v>536</v>
      </c>
      <c r="BG113" s="3" t="s">
        <v>536</v>
      </c>
    </row>
    <row r="114" ht="15.75" customHeight="1">
      <c r="A114" s="494" t="s">
        <v>104</v>
      </c>
      <c r="B114" s="496" t="s">
        <v>528</v>
      </c>
      <c r="C114" s="515"/>
      <c r="D114" s="515"/>
      <c r="E114" s="476"/>
      <c r="G114" s="494" t="s">
        <v>104</v>
      </c>
      <c r="H114" s="496" t="s">
        <v>537</v>
      </c>
      <c r="I114" s="515"/>
      <c r="J114" s="515"/>
      <c r="K114" s="476"/>
      <c r="M114" s="494" t="s">
        <v>104</v>
      </c>
      <c r="N114" s="496" t="s">
        <v>538</v>
      </c>
      <c r="O114" s="515"/>
      <c r="P114" s="515"/>
      <c r="Q114" s="476"/>
      <c r="S114" s="494" t="s">
        <v>104</v>
      </c>
      <c r="T114" s="496" t="s">
        <v>103</v>
      </c>
      <c r="U114" s="515"/>
      <c r="V114" s="515"/>
      <c r="W114" s="476"/>
      <c r="AO114" s="494" t="s">
        <v>104</v>
      </c>
      <c r="AP114" s="496" t="s">
        <v>539</v>
      </c>
      <c r="AQ114" s="515"/>
      <c r="AR114" s="515"/>
      <c r="AS114" s="476"/>
      <c r="AU114" s="494" t="s">
        <v>104</v>
      </c>
      <c r="AV114" s="496" t="s">
        <v>540</v>
      </c>
      <c r="AW114" s="515"/>
      <c r="AX114" s="515"/>
      <c r="AY114" s="476"/>
      <c r="BA114" s="494" t="s">
        <v>104</v>
      </c>
      <c r="BB114" s="496" t="s">
        <v>539</v>
      </c>
      <c r="BC114" s="515"/>
      <c r="BD114" s="515"/>
      <c r="BE114" s="476"/>
      <c r="BF114" s="3"/>
      <c r="BG114" s="494" t="s">
        <v>104</v>
      </c>
      <c r="BH114" s="496" t="s">
        <v>540</v>
      </c>
      <c r="BI114" s="515"/>
      <c r="BJ114" s="515"/>
      <c r="BK114" s="476"/>
    </row>
    <row r="115" ht="15.75" customHeight="1">
      <c r="A115" s="494" t="s">
        <v>535</v>
      </c>
      <c r="B115" s="494" t="s">
        <v>139</v>
      </c>
      <c r="C115" s="502" t="s">
        <v>135</v>
      </c>
      <c r="D115" s="494" t="s">
        <v>482</v>
      </c>
      <c r="E115" s="502" t="s">
        <v>541</v>
      </c>
      <c r="G115" s="494" t="s">
        <v>535</v>
      </c>
      <c r="H115" s="494" t="s">
        <v>139</v>
      </c>
      <c r="I115" s="502" t="s">
        <v>135</v>
      </c>
      <c r="J115" s="494" t="s">
        <v>482</v>
      </c>
      <c r="K115" s="502" t="s">
        <v>541</v>
      </c>
      <c r="M115" s="494" t="s">
        <v>535</v>
      </c>
      <c r="N115" s="494" t="s">
        <v>139</v>
      </c>
      <c r="O115" s="502" t="s">
        <v>135</v>
      </c>
      <c r="P115" s="494" t="s">
        <v>482</v>
      </c>
      <c r="Q115" s="502" t="s">
        <v>541</v>
      </c>
      <c r="S115" s="494" t="s">
        <v>535</v>
      </c>
      <c r="T115" s="494" t="s">
        <v>139</v>
      </c>
      <c r="U115" s="502" t="s">
        <v>135</v>
      </c>
      <c r="V115" s="494" t="s">
        <v>482</v>
      </c>
      <c r="W115" s="502" t="s">
        <v>541</v>
      </c>
      <c r="AO115" s="494" t="s">
        <v>535</v>
      </c>
      <c r="AP115" s="494" t="s">
        <v>139</v>
      </c>
      <c r="AQ115" s="502" t="s">
        <v>135</v>
      </c>
      <c r="AR115" s="494" t="s">
        <v>482</v>
      </c>
      <c r="AS115" s="502" t="s">
        <v>541</v>
      </c>
      <c r="AU115" s="494" t="s">
        <v>535</v>
      </c>
      <c r="AV115" s="494" t="s">
        <v>139</v>
      </c>
      <c r="AW115" s="502" t="s">
        <v>135</v>
      </c>
      <c r="AX115" s="494" t="s">
        <v>482</v>
      </c>
      <c r="AY115" s="502" t="s">
        <v>541</v>
      </c>
      <c r="BA115" s="494" t="s">
        <v>542</v>
      </c>
      <c r="BB115" s="494" t="s">
        <v>139</v>
      </c>
      <c r="BC115" s="502" t="s">
        <v>135</v>
      </c>
      <c r="BD115" s="494" t="s">
        <v>482</v>
      </c>
      <c r="BE115" s="502" t="s">
        <v>541</v>
      </c>
      <c r="BF115" s="3"/>
      <c r="BG115" s="494" t="s">
        <v>543</v>
      </c>
      <c r="BH115" s="494" t="s">
        <v>139</v>
      </c>
      <c r="BI115" s="502" t="s">
        <v>135</v>
      </c>
      <c r="BJ115" s="494" t="s">
        <v>482</v>
      </c>
      <c r="BK115" s="502" t="s">
        <v>541</v>
      </c>
    </row>
    <row r="116" ht="15.75" customHeight="1">
      <c r="A116" s="494">
        <v>100.0</v>
      </c>
      <c r="B116" s="36">
        <f t="shared" ref="B116:E116" si="224">CEILING($A116/B$121,1)</f>
        <v>3</v>
      </c>
      <c r="C116" s="36">
        <f t="shared" si="224"/>
        <v>4</v>
      </c>
      <c r="D116" s="36">
        <f t="shared" si="224"/>
        <v>5</v>
      </c>
      <c r="E116" s="36">
        <f t="shared" si="224"/>
        <v>7</v>
      </c>
      <c r="G116" s="494">
        <v>100.0</v>
      </c>
      <c r="H116" s="539">
        <f>Bajadas!T5</f>
        <v>104010.2795</v>
      </c>
      <c r="I116" s="539">
        <f>Bajadas!T5</f>
        <v>104010.2795</v>
      </c>
      <c r="J116" s="539">
        <f>Bajadas!T5</f>
        <v>104010.2795</v>
      </c>
      <c r="K116" s="539">
        <f>Bajadas!T5</f>
        <v>104010.2795</v>
      </c>
      <c r="M116" s="494">
        <v>100.0</v>
      </c>
      <c r="N116" s="29">
        <f>X35</f>
        <v>136.2627045</v>
      </c>
      <c r="O116" s="29">
        <f>X35</f>
        <v>136.2627045</v>
      </c>
      <c r="P116" s="29">
        <f t="shared" ref="P116:Q116" si="225">O116</f>
        <v>136.2627045</v>
      </c>
      <c r="Q116" s="29">
        <f t="shared" si="225"/>
        <v>136.2627045</v>
      </c>
      <c r="S116" s="494">
        <v>100.0</v>
      </c>
      <c r="T116" s="32">
        <v>200.0</v>
      </c>
      <c r="U116" s="32">
        <v>200.0</v>
      </c>
      <c r="V116" s="32">
        <v>200.0</v>
      </c>
      <c r="W116" s="32">
        <v>200.0</v>
      </c>
      <c r="Y116" s="3"/>
      <c r="Z116" s="3"/>
      <c r="AA116" s="3"/>
      <c r="AO116" s="494">
        <v>100.0</v>
      </c>
      <c r="AP116" s="540">
        <f t="shared" ref="AP116:AS116" si="226">B116*H116+T116</f>
        <v>312230.8385</v>
      </c>
      <c r="AQ116" s="540">
        <f t="shared" si="226"/>
        <v>416241.118</v>
      </c>
      <c r="AR116" s="540">
        <f t="shared" si="226"/>
        <v>520251.3975</v>
      </c>
      <c r="AS116" s="540">
        <f t="shared" si="226"/>
        <v>728271.9565</v>
      </c>
      <c r="AU116" s="494">
        <v>100.0</v>
      </c>
      <c r="AV116" s="540">
        <f t="shared" ref="AV116:AY116" si="227">B116*H116+B116*N116+T116</f>
        <v>312639.6266</v>
      </c>
      <c r="AW116" s="540">
        <f t="shared" si="227"/>
        <v>416786.1688</v>
      </c>
      <c r="AX116" s="540">
        <f t="shared" si="227"/>
        <v>520932.711</v>
      </c>
      <c r="AY116" s="540">
        <f t="shared" si="227"/>
        <v>729225.7954</v>
      </c>
      <c r="BA116" s="494">
        <v>100.0</v>
      </c>
      <c r="BB116" s="538">
        <f t="shared" ref="BB116:BE116" si="228">AP116*BB112</f>
        <v>405900.0901</v>
      </c>
      <c r="BC116" s="538">
        <f t="shared" si="228"/>
        <v>541113.4534</v>
      </c>
      <c r="BD116" s="538">
        <f t="shared" si="228"/>
        <v>676326.8168</v>
      </c>
      <c r="BE116" s="538">
        <f t="shared" si="228"/>
        <v>946753.5435</v>
      </c>
      <c r="BF116" s="3"/>
      <c r="BG116" s="494">
        <v>100.0</v>
      </c>
      <c r="BH116" s="538">
        <f t="shared" ref="BH116:BK116" si="229">AV116*BH112</f>
        <v>406431.5146</v>
      </c>
      <c r="BI116" s="538">
        <f t="shared" si="229"/>
        <v>541822.0195</v>
      </c>
      <c r="BJ116" s="538">
        <f t="shared" si="229"/>
        <v>677212.5243</v>
      </c>
      <c r="BK116" s="538">
        <f t="shared" si="229"/>
        <v>947993.5341</v>
      </c>
    </row>
    <row r="117" ht="15.75" customHeight="1">
      <c r="A117" s="494">
        <v>200.0</v>
      </c>
      <c r="B117" s="36">
        <f t="shared" ref="B117:E117" si="230">CEILING($A117/B$121,1)</f>
        <v>5</v>
      </c>
      <c r="C117" s="36">
        <f t="shared" si="230"/>
        <v>7</v>
      </c>
      <c r="D117" s="36">
        <f t="shared" si="230"/>
        <v>9</v>
      </c>
      <c r="E117" s="36">
        <f t="shared" si="230"/>
        <v>13</v>
      </c>
      <c r="G117" s="494">
        <v>200.0</v>
      </c>
      <c r="H117" s="539">
        <f>Bajadas!T5</f>
        <v>104010.2795</v>
      </c>
      <c r="I117" s="539">
        <f>Bajadas!T5</f>
        <v>104010.2795</v>
      </c>
      <c r="J117" s="539">
        <f>Bajadas!T5</f>
        <v>104010.2795</v>
      </c>
      <c r="K117" s="539">
        <f>Bajadas!T5</f>
        <v>104010.2795</v>
      </c>
      <c r="M117" s="494">
        <v>200.0</v>
      </c>
      <c r="N117" s="29">
        <f>X35</f>
        <v>136.2627045</v>
      </c>
      <c r="O117" s="29">
        <f>X35</f>
        <v>136.2627045</v>
      </c>
      <c r="P117" s="29">
        <f t="shared" ref="P117:Q117" si="231">O117</f>
        <v>136.2627045</v>
      </c>
      <c r="Q117" s="29">
        <f t="shared" si="231"/>
        <v>136.2627045</v>
      </c>
      <c r="S117" s="494">
        <v>200.0</v>
      </c>
      <c r="T117" s="32">
        <v>250.0</v>
      </c>
      <c r="U117" s="32">
        <v>250.0</v>
      </c>
      <c r="V117" s="32">
        <v>250.0</v>
      </c>
      <c r="W117" s="32">
        <v>250.0</v>
      </c>
      <c r="X117" s="3"/>
      <c r="Y117" s="3"/>
      <c r="Z117" s="3"/>
      <c r="AA117" s="3"/>
      <c r="AO117" s="494">
        <v>200.0</v>
      </c>
      <c r="AP117" s="540">
        <f t="shared" ref="AP117:AS117" si="232">B117*H117+T117</f>
        <v>520301.3975</v>
      </c>
      <c r="AQ117" s="540">
        <f t="shared" si="232"/>
        <v>728321.9565</v>
      </c>
      <c r="AR117" s="540">
        <f t="shared" si="232"/>
        <v>936342.5155</v>
      </c>
      <c r="AS117" s="540">
        <f t="shared" si="232"/>
        <v>1352383.634</v>
      </c>
      <c r="AU117" s="494">
        <v>200.0</v>
      </c>
      <c r="AV117" s="540">
        <f t="shared" ref="AV117:AY117" si="233">B117*H117+B117*N117+T117</f>
        <v>520982.711</v>
      </c>
      <c r="AW117" s="540">
        <f t="shared" si="233"/>
        <v>729275.7954</v>
      </c>
      <c r="AX117" s="540">
        <f t="shared" si="233"/>
        <v>937568.8798</v>
      </c>
      <c r="AY117" s="540">
        <f t="shared" si="233"/>
        <v>1354155.049</v>
      </c>
      <c r="BA117" s="494">
        <v>200.0</v>
      </c>
      <c r="BB117" s="538">
        <f t="shared" ref="BB117:BE117" si="234">AP117*BB112</f>
        <v>676391.8168</v>
      </c>
      <c r="BC117" s="538">
        <f t="shared" si="234"/>
        <v>946818.5435</v>
      </c>
      <c r="BD117" s="538">
        <f t="shared" si="234"/>
        <v>1217245.27</v>
      </c>
      <c r="BE117" s="538">
        <f t="shared" si="234"/>
        <v>1758098.724</v>
      </c>
      <c r="BF117" s="3"/>
      <c r="BG117" s="494">
        <v>200.0</v>
      </c>
      <c r="BH117" s="538">
        <f t="shared" ref="BH117:BK117" si="235">AV117*BH112</f>
        <v>677277.5243</v>
      </c>
      <c r="BI117" s="538">
        <f t="shared" si="235"/>
        <v>948058.5341</v>
      </c>
      <c r="BJ117" s="538">
        <f t="shared" si="235"/>
        <v>1218839.544</v>
      </c>
      <c r="BK117" s="538">
        <f t="shared" si="235"/>
        <v>1760401.563</v>
      </c>
    </row>
    <row r="118" ht="15.75" customHeight="1">
      <c r="A118" s="494">
        <v>300.0</v>
      </c>
      <c r="B118" s="36">
        <f t="shared" ref="B118:E118" si="236">CEILING($A118/B$121,1)</f>
        <v>7</v>
      </c>
      <c r="C118" s="36">
        <f t="shared" si="236"/>
        <v>10</v>
      </c>
      <c r="D118" s="36">
        <f t="shared" si="236"/>
        <v>13</v>
      </c>
      <c r="E118" s="36">
        <f t="shared" si="236"/>
        <v>19</v>
      </c>
      <c r="G118" s="494">
        <v>300.0</v>
      </c>
      <c r="H118" s="539">
        <f>Bajadas!T5</f>
        <v>104010.2795</v>
      </c>
      <c r="I118" s="539">
        <f>Bajadas!T5</f>
        <v>104010.2795</v>
      </c>
      <c r="J118" s="539">
        <f>Bajadas!T5</f>
        <v>104010.2795</v>
      </c>
      <c r="K118" s="539">
        <f>Bajadas!T5</f>
        <v>104010.2795</v>
      </c>
      <c r="M118" s="494">
        <v>300.0</v>
      </c>
      <c r="N118" s="29">
        <f>X35</f>
        <v>136.2627045</v>
      </c>
      <c r="O118" s="29">
        <f>X35</f>
        <v>136.2627045</v>
      </c>
      <c r="P118" s="29">
        <f t="shared" ref="P118:Q118" si="237">O118</f>
        <v>136.2627045</v>
      </c>
      <c r="Q118" s="29">
        <f t="shared" si="237"/>
        <v>136.2627045</v>
      </c>
      <c r="S118" s="494">
        <v>300.0</v>
      </c>
      <c r="T118" s="32">
        <v>350.0</v>
      </c>
      <c r="U118" s="32">
        <v>350.0</v>
      </c>
      <c r="V118" s="32">
        <v>350.0</v>
      </c>
      <c r="W118" s="32">
        <v>350.0</v>
      </c>
      <c r="X118" s="3"/>
      <c r="Y118" s="3"/>
      <c r="Z118" s="3"/>
      <c r="AA118" s="3"/>
      <c r="AO118" s="494">
        <v>300.0</v>
      </c>
      <c r="AP118" s="540">
        <f t="shared" ref="AP118:AS118" si="238">B118*H118+T118</f>
        <v>728421.9565</v>
      </c>
      <c r="AQ118" s="540">
        <f t="shared" si="238"/>
        <v>1040452.795</v>
      </c>
      <c r="AR118" s="540">
        <f t="shared" si="238"/>
        <v>1352483.634</v>
      </c>
      <c r="AS118" s="540">
        <f t="shared" si="238"/>
        <v>1976545.311</v>
      </c>
      <c r="AU118" s="494">
        <v>300.0</v>
      </c>
      <c r="AV118" s="540">
        <f t="shared" ref="AV118:AY118" si="239">B118*H118+B118*N118+T118</f>
        <v>729375.7954</v>
      </c>
      <c r="AW118" s="540">
        <f t="shared" si="239"/>
        <v>1041815.422</v>
      </c>
      <c r="AX118" s="540">
        <f t="shared" si="239"/>
        <v>1354255.049</v>
      </c>
      <c r="AY118" s="540">
        <f t="shared" si="239"/>
        <v>1979134.302</v>
      </c>
      <c r="BA118" s="494">
        <v>300.0</v>
      </c>
      <c r="BB118" s="538">
        <f t="shared" ref="BB118:BE118" si="240">AP118*BB112</f>
        <v>946948.5435</v>
      </c>
      <c r="BC118" s="538">
        <f t="shared" si="240"/>
        <v>1352588.634</v>
      </c>
      <c r="BD118" s="538">
        <f t="shared" si="240"/>
        <v>1758228.724</v>
      </c>
      <c r="BE118" s="538">
        <f t="shared" si="240"/>
        <v>2569508.904</v>
      </c>
      <c r="BF118" s="3"/>
      <c r="BG118" s="494">
        <v>300.0</v>
      </c>
      <c r="BH118" s="538">
        <f t="shared" ref="BH118:BK118" si="241">AV118*BH112</f>
        <v>948188.5341</v>
      </c>
      <c r="BI118" s="538">
        <f t="shared" si="241"/>
        <v>1354360.049</v>
      </c>
      <c r="BJ118" s="538">
        <f t="shared" si="241"/>
        <v>1760531.563</v>
      </c>
      <c r="BK118" s="538">
        <f t="shared" si="241"/>
        <v>2572874.592</v>
      </c>
    </row>
    <row r="119" ht="15.75" customHeight="1">
      <c r="A119" s="494">
        <v>500.0</v>
      </c>
      <c r="B119" s="36">
        <f t="shared" ref="B119:D119" si="242">CEILING($A119/B$121,1)</f>
        <v>11</v>
      </c>
      <c r="C119" s="36">
        <f t="shared" si="242"/>
        <v>16</v>
      </c>
      <c r="D119" s="36">
        <f t="shared" si="242"/>
        <v>21</v>
      </c>
      <c r="E119" s="36">
        <v>33.0</v>
      </c>
      <c r="G119" s="494">
        <v>500.0</v>
      </c>
      <c r="H119" s="539">
        <f>Bajadas!T5</f>
        <v>104010.2795</v>
      </c>
      <c r="I119" s="539">
        <f>Bajadas!T5</f>
        <v>104010.2795</v>
      </c>
      <c r="J119" s="539">
        <f>Bajadas!T5</f>
        <v>104010.2795</v>
      </c>
      <c r="K119" s="539">
        <f>Bajadas!T6</f>
        <v>103950.8415</v>
      </c>
      <c r="M119" s="494">
        <v>500.0</v>
      </c>
      <c r="N119" s="29">
        <f>X35</f>
        <v>136.2627045</v>
      </c>
      <c r="O119" s="29">
        <f>X35</f>
        <v>136.2627045</v>
      </c>
      <c r="P119" s="29">
        <f t="shared" ref="P119:Q119" si="243">O119</f>
        <v>136.2627045</v>
      </c>
      <c r="Q119" s="29">
        <f t="shared" si="243"/>
        <v>136.2627045</v>
      </c>
      <c r="S119" s="494">
        <v>500.0</v>
      </c>
      <c r="T119" s="32">
        <v>500.0</v>
      </c>
      <c r="U119" s="32">
        <v>500.0</v>
      </c>
      <c r="V119" s="32">
        <v>500.0</v>
      </c>
      <c r="W119" s="32">
        <v>500.0</v>
      </c>
      <c r="X119" s="3"/>
      <c r="Y119" s="3"/>
      <c r="Z119" s="3"/>
      <c r="AA119" s="3"/>
      <c r="AO119" s="494">
        <v>500.0</v>
      </c>
      <c r="AP119" s="540">
        <f t="shared" ref="AP119:AS119" si="244">B119*H119+T119</f>
        <v>1144613.075</v>
      </c>
      <c r="AQ119" s="540">
        <f t="shared" si="244"/>
        <v>1664664.472</v>
      </c>
      <c r="AR119" s="540">
        <f t="shared" si="244"/>
        <v>2184715.87</v>
      </c>
      <c r="AS119" s="540">
        <f t="shared" si="244"/>
        <v>3430877.77</v>
      </c>
      <c r="AU119" s="494">
        <v>500.0</v>
      </c>
      <c r="AV119" s="540">
        <f t="shared" ref="AV119:AY119" si="245">B119*H119+B119*N119+T119</f>
        <v>1146111.964</v>
      </c>
      <c r="AW119" s="540">
        <f t="shared" si="245"/>
        <v>1666844.675</v>
      </c>
      <c r="AX119" s="540">
        <f t="shared" si="245"/>
        <v>2187577.386</v>
      </c>
      <c r="AY119" s="540">
        <f t="shared" si="245"/>
        <v>3435374.439</v>
      </c>
      <c r="BA119" s="494">
        <v>500.0</v>
      </c>
      <c r="BB119" s="538">
        <f t="shared" ref="BB119:BE119" si="246">AP119*BB112</f>
        <v>1487996.997</v>
      </c>
      <c r="BC119" s="538">
        <f t="shared" si="246"/>
        <v>2164063.814</v>
      </c>
      <c r="BD119" s="538">
        <f t="shared" si="246"/>
        <v>2840130.63</v>
      </c>
      <c r="BE119" s="538">
        <f t="shared" si="246"/>
        <v>4460141.1</v>
      </c>
      <c r="BF119" s="3"/>
      <c r="BG119" s="494">
        <v>500.0</v>
      </c>
      <c r="BH119" s="538">
        <f t="shared" ref="BH119:BK119" si="247">AV119*BH112</f>
        <v>1489945.554</v>
      </c>
      <c r="BI119" s="538">
        <f t="shared" si="247"/>
        <v>2166898.078</v>
      </c>
      <c r="BJ119" s="538">
        <f t="shared" si="247"/>
        <v>2843850.602</v>
      </c>
      <c r="BK119" s="538">
        <f t="shared" si="247"/>
        <v>4465986.77</v>
      </c>
    </row>
    <row r="120" ht="15.75" customHeight="1">
      <c r="A120" s="494">
        <v>1000.0</v>
      </c>
      <c r="B120" s="36">
        <f t="shared" ref="B120:E120" si="248">CEILING($A120/B$121,1)</f>
        <v>21</v>
      </c>
      <c r="C120" s="36">
        <f t="shared" si="248"/>
        <v>32</v>
      </c>
      <c r="D120" s="36">
        <f t="shared" si="248"/>
        <v>42</v>
      </c>
      <c r="E120" s="36">
        <f t="shared" si="248"/>
        <v>63</v>
      </c>
      <c r="G120" s="494">
        <v>1000.0</v>
      </c>
      <c r="H120" s="539">
        <f>Bajadas!T5</f>
        <v>104010.2795</v>
      </c>
      <c r="I120" s="539">
        <f>Bajadas!T6</f>
        <v>103950.8415</v>
      </c>
      <c r="J120" s="539">
        <f>Bajadas!T6</f>
        <v>103950.8415</v>
      </c>
      <c r="K120" s="539">
        <f>Bajadas!T6</f>
        <v>103950.8415</v>
      </c>
      <c r="M120" s="494">
        <v>1000.0</v>
      </c>
      <c r="N120" s="29">
        <f>X35</f>
        <v>136.2627045</v>
      </c>
      <c r="O120" s="29">
        <f>X35</f>
        <v>136.2627045</v>
      </c>
      <c r="P120" s="29">
        <f t="shared" ref="P120:Q120" si="249">O120</f>
        <v>136.2627045</v>
      </c>
      <c r="Q120" s="29">
        <f t="shared" si="249"/>
        <v>136.2627045</v>
      </c>
      <c r="S120" s="494">
        <v>1000.0</v>
      </c>
      <c r="T120" s="32">
        <v>800.0</v>
      </c>
      <c r="U120" s="32">
        <v>800.0</v>
      </c>
      <c r="V120" s="32">
        <v>800.0</v>
      </c>
      <c r="W120" s="32">
        <v>800.0</v>
      </c>
      <c r="X120" s="3"/>
      <c r="Y120" s="3"/>
      <c r="Z120" s="3"/>
      <c r="AA120" s="3"/>
      <c r="AO120" s="494">
        <v>1000.0</v>
      </c>
      <c r="AP120" s="540">
        <f t="shared" ref="AP120:AS120" si="250">B120*H120+T120</f>
        <v>2185015.87</v>
      </c>
      <c r="AQ120" s="540">
        <f t="shared" si="250"/>
        <v>3327226.928</v>
      </c>
      <c r="AR120" s="540">
        <f t="shared" si="250"/>
        <v>4366735.343</v>
      </c>
      <c r="AS120" s="540">
        <f t="shared" si="250"/>
        <v>6549703.015</v>
      </c>
      <c r="AU120" s="494">
        <v>1000.0</v>
      </c>
      <c r="AV120" s="540">
        <f t="shared" ref="AV120:AY120" si="251">B120*H120+B120*N120+T120</f>
        <v>2187877.386</v>
      </c>
      <c r="AW120" s="540">
        <f t="shared" si="251"/>
        <v>3331587.335</v>
      </c>
      <c r="AX120" s="540">
        <f t="shared" si="251"/>
        <v>4372458.377</v>
      </c>
      <c r="AY120" s="540">
        <f t="shared" si="251"/>
        <v>6558287.565</v>
      </c>
      <c r="BA120" s="494">
        <v>1000.0</v>
      </c>
      <c r="BB120" s="538">
        <f t="shared" ref="BB120:BE120" si="252">AP120*BB112</f>
        <v>2840520.63</v>
      </c>
      <c r="BC120" s="538">
        <f t="shared" si="252"/>
        <v>4325395.006</v>
      </c>
      <c r="BD120" s="538">
        <f t="shared" si="252"/>
        <v>5676755.946</v>
      </c>
      <c r="BE120" s="538">
        <f t="shared" si="252"/>
        <v>8514613.919</v>
      </c>
      <c r="BF120" s="3"/>
      <c r="BG120" s="494">
        <v>1000.0</v>
      </c>
      <c r="BH120" s="538">
        <f t="shared" ref="BH120:BK120" si="253">AV120*BH112</f>
        <v>2844240.602</v>
      </c>
      <c r="BI120" s="538">
        <f t="shared" si="253"/>
        <v>4331063.535</v>
      </c>
      <c r="BJ120" s="538">
        <f t="shared" si="253"/>
        <v>5684195.89</v>
      </c>
      <c r="BK120" s="538">
        <f t="shared" si="253"/>
        <v>8525773.834</v>
      </c>
    </row>
    <row r="121" ht="15.75" customHeight="1">
      <c r="A121" s="3" t="s">
        <v>530</v>
      </c>
      <c r="B121" s="3">
        <v>49.0</v>
      </c>
      <c r="C121" s="3">
        <v>32.0</v>
      </c>
      <c r="D121" s="3">
        <v>24.0</v>
      </c>
      <c r="E121" s="3">
        <v>16.0</v>
      </c>
    </row>
    <row r="122" ht="15.75" customHeight="1"/>
    <row r="123" ht="15.75" customHeight="1">
      <c r="A123" s="28" t="s">
        <v>544</v>
      </c>
    </row>
    <row r="124" ht="15.75" customHeight="1">
      <c r="A124" s="3" t="s">
        <v>485</v>
      </c>
      <c r="BA124" s="494"/>
      <c r="BB124" s="3">
        <v>1.3</v>
      </c>
      <c r="BC124" s="3">
        <v>1.3</v>
      </c>
      <c r="BD124" s="3">
        <v>1.3</v>
      </c>
      <c r="BE124" s="3">
        <v>1.3</v>
      </c>
      <c r="BG124" s="494"/>
      <c r="BH124" s="3">
        <v>1.3</v>
      </c>
      <c r="BI124" s="3">
        <v>1.3</v>
      </c>
      <c r="BJ124" s="3">
        <v>1.3</v>
      </c>
      <c r="BK124" s="3">
        <v>1.3</v>
      </c>
    </row>
    <row r="125" ht="15.75" customHeight="1">
      <c r="A125" s="3" t="s">
        <v>545</v>
      </c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</row>
    <row r="126" ht="15.75" customHeight="1">
      <c r="A126" s="494" t="s">
        <v>104</v>
      </c>
      <c r="B126" s="541" t="s">
        <v>546</v>
      </c>
      <c r="C126" s="542"/>
      <c r="D126" s="541"/>
      <c r="E126" s="542"/>
      <c r="G126" s="494" t="s">
        <v>104</v>
      </c>
      <c r="H126" s="496" t="s">
        <v>29</v>
      </c>
      <c r="I126" s="515"/>
      <c r="J126" s="515"/>
      <c r="K126" s="476"/>
      <c r="M126" s="494" t="s">
        <v>104</v>
      </c>
      <c r="N126" s="496" t="s">
        <v>547</v>
      </c>
      <c r="O126" s="515"/>
      <c r="P126" s="515"/>
      <c r="Q126" s="476"/>
      <c r="S126" s="494" t="s">
        <v>104</v>
      </c>
      <c r="T126" s="496" t="s">
        <v>548</v>
      </c>
      <c r="U126" s="515"/>
      <c r="V126" s="515"/>
      <c r="W126" s="476"/>
      <c r="AO126" s="494" t="s">
        <v>104</v>
      </c>
      <c r="AP126" s="496" t="s">
        <v>539</v>
      </c>
      <c r="AQ126" s="515"/>
      <c r="AR126" s="515"/>
      <c r="AS126" s="476"/>
      <c r="AU126" s="494" t="s">
        <v>104</v>
      </c>
      <c r="AV126" s="496" t="s">
        <v>540</v>
      </c>
      <c r="AW126" s="515"/>
      <c r="AX126" s="515"/>
      <c r="AY126" s="476"/>
      <c r="BA126" s="494" t="s">
        <v>104</v>
      </c>
      <c r="BB126" s="496" t="s">
        <v>539</v>
      </c>
      <c r="BC126" s="515"/>
      <c r="BD126" s="515"/>
      <c r="BE126" s="476"/>
      <c r="BF126" s="3"/>
      <c r="BG126" s="494" t="s">
        <v>104</v>
      </c>
      <c r="BH126" s="496" t="s">
        <v>540</v>
      </c>
      <c r="BI126" s="515"/>
      <c r="BJ126" s="515"/>
      <c r="BK126" s="476"/>
    </row>
    <row r="127" ht="15.75" customHeight="1">
      <c r="A127" s="494" t="s">
        <v>544</v>
      </c>
      <c r="B127" s="494" t="s">
        <v>139</v>
      </c>
      <c r="C127" s="502" t="s">
        <v>135</v>
      </c>
      <c r="D127" s="494" t="s">
        <v>482</v>
      </c>
      <c r="E127" s="502" t="s">
        <v>541</v>
      </c>
      <c r="G127" s="494" t="s">
        <v>544</v>
      </c>
      <c r="H127" s="494" t="s">
        <v>139</v>
      </c>
      <c r="I127" s="502" t="s">
        <v>135</v>
      </c>
      <c r="J127" s="494" t="s">
        <v>482</v>
      </c>
      <c r="K127" s="502" t="s">
        <v>541</v>
      </c>
      <c r="M127" s="494" t="s">
        <v>544</v>
      </c>
      <c r="N127" s="494" t="s">
        <v>139</v>
      </c>
      <c r="O127" s="502" t="s">
        <v>135</v>
      </c>
      <c r="P127" s="494" t="s">
        <v>482</v>
      </c>
      <c r="Q127" s="502" t="s">
        <v>541</v>
      </c>
      <c r="S127" s="494" t="s">
        <v>544</v>
      </c>
      <c r="T127" s="494" t="s">
        <v>139</v>
      </c>
      <c r="U127" s="502" t="s">
        <v>135</v>
      </c>
      <c r="V127" s="494" t="s">
        <v>482</v>
      </c>
      <c r="W127" s="502" t="s">
        <v>541</v>
      </c>
      <c r="AO127" s="494" t="s">
        <v>543</v>
      </c>
      <c r="AP127" s="494" t="s">
        <v>139</v>
      </c>
      <c r="AQ127" s="502" t="s">
        <v>135</v>
      </c>
      <c r="AR127" s="494" t="s">
        <v>482</v>
      </c>
      <c r="AS127" s="502" t="s">
        <v>541</v>
      </c>
      <c r="AU127" s="494" t="s">
        <v>543</v>
      </c>
      <c r="AV127" s="494" t="s">
        <v>139</v>
      </c>
      <c r="AW127" s="502" t="s">
        <v>135</v>
      </c>
      <c r="AX127" s="494" t="s">
        <v>482</v>
      </c>
      <c r="AY127" s="502" t="s">
        <v>541</v>
      </c>
      <c r="BA127" s="494" t="s">
        <v>543</v>
      </c>
      <c r="BB127" s="494" t="s">
        <v>139</v>
      </c>
      <c r="BC127" s="502" t="s">
        <v>135</v>
      </c>
      <c r="BD127" s="494" t="s">
        <v>482</v>
      </c>
      <c r="BE127" s="502" t="s">
        <v>541</v>
      </c>
      <c r="BF127" s="3"/>
      <c r="BG127" s="494" t="s">
        <v>543</v>
      </c>
      <c r="BH127" s="494" t="s">
        <v>139</v>
      </c>
      <c r="BI127" s="502" t="s">
        <v>135</v>
      </c>
      <c r="BJ127" s="494" t="s">
        <v>482</v>
      </c>
      <c r="BK127" s="502" t="s">
        <v>541</v>
      </c>
    </row>
    <row r="128" ht="15.75" customHeight="1">
      <c r="A128" s="494">
        <v>100.0</v>
      </c>
      <c r="B128" s="36">
        <f t="shared" ref="B128:E128" si="254">CEILING($A128/B$133,1)</f>
        <v>3</v>
      </c>
      <c r="C128" s="36">
        <f t="shared" si="254"/>
        <v>4</v>
      </c>
      <c r="D128" s="36">
        <f t="shared" si="254"/>
        <v>5</v>
      </c>
      <c r="E128" s="36">
        <f t="shared" si="254"/>
        <v>7</v>
      </c>
      <c r="G128" s="494">
        <v>100.0</v>
      </c>
      <c r="H128" s="370">
        <f>Bajadas!S5</f>
        <v>468299</v>
      </c>
      <c r="I128" s="370">
        <f>Bajadas!S5</f>
        <v>468299</v>
      </c>
      <c r="J128" s="370">
        <f>Bajadas!S5</f>
        <v>468299</v>
      </c>
      <c r="K128" s="370">
        <f>Bajadas!S5</f>
        <v>468299</v>
      </c>
      <c r="M128" s="494">
        <v>100.0</v>
      </c>
      <c r="N128" s="29">
        <f>X47</f>
        <v>136.2627045</v>
      </c>
      <c r="O128" s="29">
        <f>X47</f>
        <v>136.2627045</v>
      </c>
      <c r="P128" s="29">
        <f t="shared" ref="P128:Q128" si="255">O128</f>
        <v>136.2627045</v>
      </c>
      <c r="Q128" s="29">
        <f t="shared" si="255"/>
        <v>136.2627045</v>
      </c>
      <c r="S128" s="494">
        <v>100.0</v>
      </c>
      <c r="T128" s="32">
        <v>200.0</v>
      </c>
      <c r="U128" s="32">
        <v>200.0</v>
      </c>
      <c r="V128" s="32">
        <v>200.0</v>
      </c>
      <c r="W128" s="32">
        <v>200.0</v>
      </c>
      <c r="X128" s="3"/>
      <c r="Y128" s="3"/>
      <c r="Z128" s="3"/>
      <c r="AA128" s="3"/>
      <c r="AN128" s="3">
        <v>1.5</v>
      </c>
      <c r="AO128" s="494">
        <v>100.0</v>
      </c>
      <c r="AP128" s="540">
        <f t="shared" ref="AP128:AS128" si="256">(H128*B128)+T128</f>
        <v>1405097</v>
      </c>
      <c r="AQ128" s="540">
        <f t="shared" si="256"/>
        <v>1873396</v>
      </c>
      <c r="AR128" s="540">
        <f t="shared" si="256"/>
        <v>2341695</v>
      </c>
      <c r="AS128" s="540">
        <f t="shared" si="256"/>
        <v>3278293</v>
      </c>
      <c r="AU128" s="494">
        <v>100.0</v>
      </c>
      <c r="AV128" s="540">
        <f t="shared" ref="AV128:AY128" si="257">(B128*H128)+N128*B128+T128</f>
        <v>1405505.788</v>
      </c>
      <c r="AW128" s="540">
        <f t="shared" si="257"/>
        <v>1873941.051</v>
      </c>
      <c r="AX128" s="540">
        <f t="shared" si="257"/>
        <v>2342376.314</v>
      </c>
      <c r="AY128" s="540">
        <f t="shared" si="257"/>
        <v>3279246.839</v>
      </c>
      <c r="BA128" s="494">
        <v>100.0</v>
      </c>
      <c r="BB128" s="538">
        <f t="shared" ref="BB128:BE128" si="258">AP128*BB124</f>
        <v>1826626.1</v>
      </c>
      <c r="BC128" s="538">
        <f t="shared" si="258"/>
        <v>2435414.8</v>
      </c>
      <c r="BD128" s="538">
        <f t="shared" si="258"/>
        <v>3044203.5</v>
      </c>
      <c r="BE128" s="538">
        <f t="shared" si="258"/>
        <v>4261780.9</v>
      </c>
      <c r="BF128" s="3"/>
      <c r="BG128" s="494">
        <v>100.0</v>
      </c>
      <c r="BH128" s="538">
        <f t="shared" ref="BH128:BK128" si="259">AV128*BH124</f>
        <v>1827157.525</v>
      </c>
      <c r="BI128" s="538">
        <f t="shared" si="259"/>
        <v>2436123.366</v>
      </c>
      <c r="BJ128" s="538">
        <f t="shared" si="259"/>
        <v>3045089.208</v>
      </c>
      <c r="BK128" s="538">
        <f t="shared" si="259"/>
        <v>4263020.891</v>
      </c>
    </row>
    <row r="129" ht="15.75" customHeight="1">
      <c r="A129" s="494">
        <v>200.0</v>
      </c>
      <c r="B129" s="36">
        <f t="shared" ref="B129:E129" si="260">CEILING($A129/B$133,1)</f>
        <v>5</v>
      </c>
      <c r="C129" s="36">
        <f t="shared" si="260"/>
        <v>7</v>
      </c>
      <c r="D129" s="36">
        <f t="shared" si="260"/>
        <v>9</v>
      </c>
      <c r="E129" s="36">
        <f t="shared" si="260"/>
        <v>13</v>
      </c>
      <c r="G129" s="494">
        <v>200.0</v>
      </c>
      <c r="H129" s="370">
        <f>Bajadas!S5</f>
        <v>468299</v>
      </c>
      <c r="I129" s="370">
        <f>Bajadas!S5</f>
        <v>468299</v>
      </c>
      <c r="J129" s="370">
        <f>Bajadas!S5</f>
        <v>468299</v>
      </c>
      <c r="K129" s="370">
        <f>Bajadas!S5</f>
        <v>468299</v>
      </c>
      <c r="M129" s="494">
        <v>200.0</v>
      </c>
      <c r="N129" s="29">
        <f>X47</f>
        <v>136.2627045</v>
      </c>
      <c r="O129" s="29">
        <f>X47</f>
        <v>136.2627045</v>
      </c>
      <c r="P129" s="29">
        <f t="shared" ref="P129:Q129" si="261">O129</f>
        <v>136.2627045</v>
      </c>
      <c r="Q129" s="29">
        <f t="shared" si="261"/>
        <v>136.2627045</v>
      </c>
      <c r="S129" s="494">
        <v>200.0</v>
      </c>
      <c r="T129" s="32">
        <v>250.0</v>
      </c>
      <c r="U129" s="32">
        <v>250.0</v>
      </c>
      <c r="V129" s="32">
        <v>250.0</v>
      </c>
      <c r="W129" s="32">
        <v>250.0</v>
      </c>
      <c r="X129" s="3"/>
      <c r="Y129" s="3"/>
      <c r="Z129" s="3"/>
      <c r="AA129" s="3"/>
      <c r="AO129" s="494">
        <v>200.0</v>
      </c>
      <c r="AP129" s="540">
        <f t="shared" ref="AP129:AS129" si="262">(H129*B129)+T129</f>
        <v>2341745</v>
      </c>
      <c r="AQ129" s="540">
        <f t="shared" si="262"/>
        <v>3278343</v>
      </c>
      <c r="AR129" s="540">
        <f t="shared" si="262"/>
        <v>4214941</v>
      </c>
      <c r="AS129" s="540">
        <f t="shared" si="262"/>
        <v>6088137</v>
      </c>
      <c r="AU129" s="494">
        <v>200.0</v>
      </c>
      <c r="AV129" s="540">
        <f t="shared" ref="AV129:AY129" si="263">(B129*H129)+N129*B129+T129</f>
        <v>2342426.314</v>
      </c>
      <c r="AW129" s="540">
        <f t="shared" si="263"/>
        <v>3279296.839</v>
      </c>
      <c r="AX129" s="540">
        <f t="shared" si="263"/>
        <v>4216167.364</v>
      </c>
      <c r="AY129" s="540">
        <f t="shared" si="263"/>
        <v>6089908.415</v>
      </c>
      <c r="BA129" s="494">
        <v>200.0</v>
      </c>
      <c r="BB129" s="538">
        <f t="shared" ref="BB129:BE129" si="264">AP129*BB124</f>
        <v>3044268.5</v>
      </c>
      <c r="BC129" s="538">
        <f t="shared" si="264"/>
        <v>4261845.9</v>
      </c>
      <c r="BD129" s="538">
        <f t="shared" si="264"/>
        <v>5479423.3</v>
      </c>
      <c r="BE129" s="538">
        <f t="shared" si="264"/>
        <v>7914578.1</v>
      </c>
      <c r="BF129" s="3"/>
      <c r="BG129" s="494">
        <v>200.0</v>
      </c>
      <c r="BH129" s="538">
        <f t="shared" ref="BH129:BK129" si="265">AV129*BH124</f>
        <v>3045154.208</v>
      </c>
      <c r="BI129" s="538">
        <f t="shared" si="265"/>
        <v>4263085.891</v>
      </c>
      <c r="BJ129" s="538">
        <f t="shared" si="265"/>
        <v>5481017.574</v>
      </c>
      <c r="BK129" s="538">
        <f t="shared" si="265"/>
        <v>7916880.94</v>
      </c>
    </row>
    <row r="130" ht="15.75" customHeight="1">
      <c r="A130" s="494">
        <v>300.0</v>
      </c>
      <c r="B130" s="36">
        <f t="shared" ref="B130:E130" si="266">CEILING($A130/B$133,1)</f>
        <v>7</v>
      </c>
      <c r="C130" s="36">
        <f t="shared" si="266"/>
        <v>10</v>
      </c>
      <c r="D130" s="36">
        <f t="shared" si="266"/>
        <v>13</v>
      </c>
      <c r="E130" s="36">
        <f t="shared" si="266"/>
        <v>19</v>
      </c>
      <c r="G130" s="494">
        <v>300.0</v>
      </c>
      <c r="H130" s="370">
        <f>Bajadas!S5</f>
        <v>468299</v>
      </c>
      <c r="I130" s="370">
        <f>Bajadas!S5</f>
        <v>468299</v>
      </c>
      <c r="J130" s="370">
        <f>Bajadas!S5</f>
        <v>468299</v>
      </c>
      <c r="K130" s="370">
        <f>Bajadas!S5</f>
        <v>468299</v>
      </c>
      <c r="M130" s="494">
        <v>300.0</v>
      </c>
      <c r="N130" s="29">
        <f>X47</f>
        <v>136.2627045</v>
      </c>
      <c r="O130" s="29">
        <f>X47</f>
        <v>136.2627045</v>
      </c>
      <c r="P130" s="29">
        <f t="shared" ref="P130:Q130" si="267">O130</f>
        <v>136.2627045</v>
      </c>
      <c r="Q130" s="29">
        <f t="shared" si="267"/>
        <v>136.2627045</v>
      </c>
      <c r="S130" s="494">
        <v>300.0</v>
      </c>
      <c r="T130" s="32">
        <v>350.0</v>
      </c>
      <c r="U130" s="32">
        <v>350.0</v>
      </c>
      <c r="V130" s="32">
        <v>350.0</v>
      </c>
      <c r="W130" s="32">
        <v>350.0</v>
      </c>
      <c r="X130" s="3"/>
      <c r="Y130" s="3"/>
      <c r="Z130" s="3"/>
      <c r="AA130" s="3"/>
      <c r="AO130" s="494">
        <v>300.0</v>
      </c>
      <c r="AP130" s="540">
        <f t="shared" ref="AP130:AS130" si="268">(H130*B130)+T130</f>
        <v>3278443</v>
      </c>
      <c r="AQ130" s="540">
        <f t="shared" si="268"/>
        <v>4683340</v>
      </c>
      <c r="AR130" s="540">
        <f t="shared" si="268"/>
        <v>6088237</v>
      </c>
      <c r="AS130" s="540">
        <f t="shared" si="268"/>
        <v>8898031</v>
      </c>
      <c r="AU130" s="494">
        <v>300.0</v>
      </c>
      <c r="AV130" s="540">
        <f t="shared" ref="AV130:AY130" si="269">(B130*H130)+N130*B130+T130</f>
        <v>3279396.839</v>
      </c>
      <c r="AW130" s="540">
        <f t="shared" si="269"/>
        <v>4684702.627</v>
      </c>
      <c r="AX130" s="540">
        <f t="shared" si="269"/>
        <v>6090008.415</v>
      </c>
      <c r="AY130" s="540">
        <f t="shared" si="269"/>
        <v>8900619.991</v>
      </c>
      <c r="BA130" s="494">
        <v>300.0</v>
      </c>
      <c r="BB130" s="538">
        <f t="shared" ref="BB130:BE130" si="270">AP130*BB124</f>
        <v>4261975.9</v>
      </c>
      <c r="BC130" s="538">
        <f t="shared" si="270"/>
        <v>6088342</v>
      </c>
      <c r="BD130" s="538">
        <f t="shared" si="270"/>
        <v>7914708.1</v>
      </c>
      <c r="BE130" s="538">
        <f t="shared" si="270"/>
        <v>11567440.3</v>
      </c>
      <c r="BF130" s="3"/>
      <c r="BG130" s="494">
        <v>300.0</v>
      </c>
      <c r="BH130" s="538">
        <f t="shared" ref="BH130:BK130" si="271">AV130*BH124</f>
        <v>4263215.891</v>
      </c>
      <c r="BI130" s="538">
        <f t="shared" si="271"/>
        <v>6090113.415</v>
      </c>
      <c r="BJ130" s="538">
        <f t="shared" si="271"/>
        <v>7917010.94</v>
      </c>
      <c r="BK130" s="538">
        <f t="shared" si="271"/>
        <v>11570805.99</v>
      </c>
    </row>
    <row r="131" ht="15.75" customHeight="1">
      <c r="A131" s="494">
        <v>500.0</v>
      </c>
      <c r="B131" s="36">
        <f t="shared" ref="B131:C131" si="272">CEILING($A131/B$133,1)</f>
        <v>11</v>
      </c>
      <c r="C131" s="36">
        <f t="shared" si="272"/>
        <v>16</v>
      </c>
      <c r="D131" s="36">
        <f>CEILING($A131/D$133,1)+2</f>
        <v>23</v>
      </c>
      <c r="E131" s="36">
        <f>CEILING($A131/E$133,1)+4</f>
        <v>36</v>
      </c>
      <c r="G131" s="494">
        <v>500.0</v>
      </c>
      <c r="H131" s="370">
        <f>Bajadas!S5</f>
        <v>468299</v>
      </c>
      <c r="I131" s="370">
        <f>Bajadas!S5</f>
        <v>468299</v>
      </c>
      <c r="J131" s="370">
        <f>Bajadas!S5</f>
        <v>468299</v>
      </c>
      <c r="K131" s="370">
        <f>Bajadas!S6</f>
        <v>454525.5</v>
      </c>
      <c r="M131" s="494">
        <v>500.0</v>
      </c>
      <c r="N131" s="29">
        <f>X47</f>
        <v>136.2627045</v>
      </c>
      <c r="O131" s="29">
        <f>X47</f>
        <v>136.2627045</v>
      </c>
      <c r="P131" s="29">
        <f t="shared" ref="P131:Q131" si="273">O131</f>
        <v>136.2627045</v>
      </c>
      <c r="Q131" s="29">
        <f t="shared" si="273"/>
        <v>136.2627045</v>
      </c>
      <c r="S131" s="494">
        <v>500.0</v>
      </c>
      <c r="T131" s="32">
        <v>500.0</v>
      </c>
      <c r="U131" s="32">
        <v>500.0</v>
      </c>
      <c r="V131" s="32">
        <v>500.0</v>
      </c>
      <c r="W131" s="32">
        <v>500.0</v>
      </c>
      <c r="X131" s="3"/>
      <c r="Y131" s="3"/>
      <c r="Z131" s="3"/>
      <c r="AA131" s="3"/>
      <c r="AO131" s="494">
        <v>500.0</v>
      </c>
      <c r="AP131" s="540">
        <f t="shared" ref="AP131:AS131" si="274">(H131*B131)+T131</f>
        <v>5151789</v>
      </c>
      <c r="AQ131" s="540">
        <f t="shared" si="274"/>
        <v>7493284</v>
      </c>
      <c r="AR131" s="540">
        <f t="shared" si="274"/>
        <v>10771377</v>
      </c>
      <c r="AS131" s="540">
        <f t="shared" si="274"/>
        <v>16363418</v>
      </c>
      <c r="AU131" s="494">
        <v>500.0</v>
      </c>
      <c r="AV131" s="540">
        <f t="shared" ref="AV131:AY131" si="275">(B131*H131)+N131*B131+T131</f>
        <v>5153287.89</v>
      </c>
      <c r="AW131" s="540">
        <f t="shared" si="275"/>
        <v>7495464.203</v>
      </c>
      <c r="AX131" s="540">
        <f t="shared" si="275"/>
        <v>10774511.04</v>
      </c>
      <c r="AY131" s="540">
        <f t="shared" si="275"/>
        <v>16368323.46</v>
      </c>
      <c r="BA131" s="494">
        <v>500.0</v>
      </c>
      <c r="BB131" s="538">
        <f t="shared" ref="BB131:BE131" si="276">AP131*BB124</f>
        <v>6697325.7</v>
      </c>
      <c r="BC131" s="538">
        <f t="shared" si="276"/>
        <v>9741269.2</v>
      </c>
      <c r="BD131" s="538">
        <f t="shared" si="276"/>
        <v>14002790.1</v>
      </c>
      <c r="BE131" s="538">
        <f t="shared" si="276"/>
        <v>21272443.4</v>
      </c>
      <c r="BF131" s="3"/>
      <c r="BG131" s="494">
        <v>500.0</v>
      </c>
      <c r="BH131" s="538">
        <f t="shared" ref="BH131:BK131" si="277">AV131*BH124</f>
        <v>6699274.257</v>
      </c>
      <c r="BI131" s="538">
        <f t="shared" si="277"/>
        <v>9744103.464</v>
      </c>
      <c r="BJ131" s="538">
        <f t="shared" si="277"/>
        <v>14006864.35</v>
      </c>
      <c r="BK131" s="538">
        <f t="shared" si="277"/>
        <v>21278820.49</v>
      </c>
    </row>
    <row r="132" ht="15.75" customHeight="1">
      <c r="A132" s="494">
        <v>1000.0</v>
      </c>
      <c r="B132" s="36">
        <f t="shared" ref="B132:E132" si="278">CEILING($A132/B$133,1)</f>
        <v>21</v>
      </c>
      <c r="C132" s="36">
        <f t="shared" si="278"/>
        <v>32</v>
      </c>
      <c r="D132" s="36">
        <f t="shared" si="278"/>
        <v>42</v>
      </c>
      <c r="E132" s="36">
        <f t="shared" si="278"/>
        <v>63</v>
      </c>
      <c r="G132" s="494">
        <v>1000.0</v>
      </c>
      <c r="H132" s="370">
        <f>Bajadas!S5</f>
        <v>468299</v>
      </c>
      <c r="I132" s="370">
        <f>Bajadas!S6</f>
        <v>454525.5</v>
      </c>
      <c r="J132" s="370">
        <f>Bajadas!S6</f>
        <v>454525.5</v>
      </c>
      <c r="K132" s="370">
        <f>Bajadas!S7</f>
        <v>440752</v>
      </c>
      <c r="M132" s="494">
        <v>1000.0</v>
      </c>
      <c r="N132" s="29">
        <f>X47</f>
        <v>136.2627045</v>
      </c>
      <c r="O132" s="29">
        <f>X47</f>
        <v>136.2627045</v>
      </c>
      <c r="P132" s="29">
        <f t="shared" ref="P132:Q132" si="279">O132</f>
        <v>136.2627045</v>
      </c>
      <c r="Q132" s="29">
        <f t="shared" si="279"/>
        <v>136.2627045</v>
      </c>
      <c r="S132" s="494">
        <v>1000.0</v>
      </c>
      <c r="T132" s="32">
        <v>800.0</v>
      </c>
      <c r="U132" s="32">
        <v>800.0</v>
      </c>
      <c r="V132" s="32">
        <v>800.0</v>
      </c>
      <c r="W132" s="32">
        <v>800.0</v>
      </c>
      <c r="X132" s="3"/>
      <c r="Y132" s="3"/>
      <c r="Z132" s="3"/>
      <c r="AA132" s="3"/>
      <c r="AO132" s="494">
        <v>1000.0</v>
      </c>
      <c r="AP132" s="540">
        <f t="shared" ref="AP132:AS132" si="280">(H132*B132)+T132</f>
        <v>9835079</v>
      </c>
      <c r="AQ132" s="540">
        <f t="shared" si="280"/>
        <v>14545616</v>
      </c>
      <c r="AR132" s="540">
        <f t="shared" si="280"/>
        <v>19090871</v>
      </c>
      <c r="AS132" s="540">
        <f t="shared" si="280"/>
        <v>27768176</v>
      </c>
      <c r="AU132" s="494">
        <v>1000.0</v>
      </c>
      <c r="AV132" s="540">
        <f t="shared" ref="AV132:AY132" si="281">(B132*H132)+N132*B132+T132</f>
        <v>9837940.517</v>
      </c>
      <c r="AW132" s="540">
        <f t="shared" si="281"/>
        <v>14549976.41</v>
      </c>
      <c r="AX132" s="540">
        <f t="shared" si="281"/>
        <v>19096594.03</v>
      </c>
      <c r="AY132" s="540">
        <f t="shared" si="281"/>
        <v>27776760.55</v>
      </c>
      <c r="BA132" s="494">
        <v>1000.0</v>
      </c>
      <c r="BB132" s="538">
        <f t="shared" ref="BB132:BE132" si="282">AP132*BB124</f>
        <v>12785602.7</v>
      </c>
      <c r="BC132" s="538">
        <f t="shared" si="282"/>
        <v>18909300.8</v>
      </c>
      <c r="BD132" s="538">
        <f t="shared" si="282"/>
        <v>24818132.3</v>
      </c>
      <c r="BE132" s="538">
        <f t="shared" si="282"/>
        <v>36098628.8</v>
      </c>
      <c r="BF132" s="3"/>
      <c r="BG132" s="494">
        <v>1000.0</v>
      </c>
      <c r="BH132" s="538">
        <f t="shared" ref="BH132:BK132" si="283">AV132*BH124</f>
        <v>12789322.67</v>
      </c>
      <c r="BI132" s="538">
        <f t="shared" si="283"/>
        <v>18914969.33</v>
      </c>
      <c r="BJ132" s="538">
        <f t="shared" si="283"/>
        <v>24825572.24</v>
      </c>
      <c r="BK132" s="538">
        <f t="shared" si="283"/>
        <v>36109788.72</v>
      </c>
    </row>
    <row r="133" ht="15.75" customHeight="1">
      <c r="A133" s="3" t="s">
        <v>549</v>
      </c>
      <c r="B133" s="3">
        <v>49.0</v>
      </c>
      <c r="C133" s="3">
        <v>32.0</v>
      </c>
      <c r="D133" s="3">
        <v>24.0</v>
      </c>
      <c r="E133" s="3">
        <v>16.0</v>
      </c>
    </row>
    <row r="134" ht="15.75" customHeight="1"/>
    <row r="135" ht="15.75" customHeight="1"/>
    <row r="136" ht="15.75" customHeight="1">
      <c r="A136" s="3" t="s">
        <v>550</v>
      </c>
      <c r="BA136" s="3" t="s">
        <v>551</v>
      </c>
    </row>
    <row r="137" ht="15.75" customHeight="1">
      <c r="A137" s="3" t="s">
        <v>485</v>
      </c>
      <c r="R137" s="36"/>
      <c r="BA137" s="3" t="s">
        <v>486</v>
      </c>
    </row>
    <row r="138" ht="15.75" customHeight="1">
      <c r="A138" s="116" t="s">
        <v>486</v>
      </c>
      <c r="B138" s="116"/>
      <c r="BA138" s="3" t="s">
        <v>552</v>
      </c>
    </row>
    <row r="139" ht="15.75" customHeight="1">
      <c r="A139" s="3" t="s">
        <v>552</v>
      </c>
      <c r="D139" s="490" t="s">
        <v>490</v>
      </c>
      <c r="E139" s="491"/>
      <c r="F139" s="491"/>
      <c r="G139" s="491"/>
      <c r="H139" s="491"/>
      <c r="I139" s="492"/>
      <c r="L139" s="493" t="s">
        <v>490</v>
      </c>
      <c r="M139" s="543"/>
      <c r="O139" s="36"/>
      <c r="P139" s="488" t="s">
        <v>491</v>
      </c>
      <c r="Q139" s="488"/>
      <c r="R139" s="36"/>
      <c r="U139" s="36"/>
      <c r="V139" s="488" t="s">
        <v>553</v>
      </c>
      <c r="W139" s="488" t="s">
        <v>335</v>
      </c>
      <c r="X139" s="36" t="s">
        <v>554</v>
      </c>
      <c r="Y139" s="512" t="s">
        <v>98</v>
      </c>
      <c r="AE139" s="490"/>
      <c r="AF139" s="491"/>
      <c r="AG139" s="491"/>
      <c r="AH139" s="491"/>
      <c r="AI139" s="491"/>
      <c r="AJ139" s="492"/>
      <c r="AK139" s="282"/>
      <c r="AL139" s="282"/>
      <c r="AM139" s="282"/>
      <c r="AO139" s="490" t="s">
        <v>504</v>
      </c>
      <c r="AP139" s="491"/>
      <c r="AQ139" s="491"/>
      <c r="AR139" s="491"/>
      <c r="AS139" s="491"/>
      <c r="AT139" s="491"/>
      <c r="AU139" s="491"/>
      <c r="AV139" s="491"/>
      <c r="AW139" s="492"/>
      <c r="BA139" s="496" t="s">
        <v>504</v>
      </c>
      <c r="BB139" s="515"/>
      <c r="BC139" s="515"/>
      <c r="BD139" s="515"/>
      <c r="BE139" s="515"/>
      <c r="BF139" s="515"/>
      <c r="BG139" s="515"/>
      <c r="BH139" s="515"/>
      <c r="BI139" s="515"/>
      <c r="BJ139" s="476"/>
    </row>
    <row r="140" ht="15.75" customHeight="1">
      <c r="A140" s="494" t="s">
        <v>104</v>
      </c>
      <c r="B140" s="496" t="s">
        <v>473</v>
      </c>
      <c r="C140" s="476"/>
      <c r="D140" s="496" t="s">
        <v>555</v>
      </c>
      <c r="E140" s="476"/>
      <c r="F140" s="496" t="s">
        <v>556</v>
      </c>
      <c r="G140" s="476"/>
      <c r="H140" s="496" t="s">
        <v>557</v>
      </c>
      <c r="I140" s="497"/>
      <c r="K140" s="494" t="s">
        <v>104</v>
      </c>
      <c r="L140" s="496" t="s">
        <v>473</v>
      </c>
      <c r="M140" s="476"/>
      <c r="O140" s="494" t="s">
        <v>104</v>
      </c>
      <c r="P140" s="488"/>
      <c r="Q140" s="488"/>
      <c r="R140" s="36"/>
      <c r="U140" s="494" t="s">
        <v>104</v>
      </c>
      <c r="V140" s="488"/>
      <c r="W140" s="488" t="s">
        <v>468</v>
      </c>
      <c r="X140" s="36"/>
      <c r="AE140" s="494"/>
      <c r="AF140" s="496"/>
      <c r="AG140" s="476"/>
      <c r="AH140" s="496"/>
      <c r="AI140" s="476"/>
      <c r="AJ140" s="496"/>
      <c r="AK140" s="476"/>
      <c r="AL140" s="281"/>
      <c r="AM140" s="544"/>
      <c r="AO140" s="494" t="s">
        <v>104</v>
      </c>
      <c r="AP140" s="496" t="s">
        <v>473</v>
      </c>
      <c r="AQ140" s="476"/>
      <c r="AR140" s="496" t="s">
        <v>71</v>
      </c>
      <c r="AS140" s="476"/>
      <c r="AT140" s="496" t="s">
        <v>494</v>
      </c>
      <c r="AU140" s="476"/>
      <c r="AV140" s="496" t="s">
        <v>495</v>
      </c>
      <c r="AW140" s="497"/>
      <c r="BA140" s="494" t="s">
        <v>558</v>
      </c>
      <c r="BB140" s="496" t="s">
        <v>473</v>
      </c>
      <c r="BC140" s="476"/>
      <c r="BD140" s="496" t="s">
        <v>71</v>
      </c>
      <c r="BE140" s="476"/>
      <c r="BF140" s="496" t="s">
        <v>494</v>
      </c>
      <c r="BG140" s="476"/>
      <c r="BH140" s="496" t="s">
        <v>495</v>
      </c>
      <c r="BI140" s="476"/>
      <c r="BJ140" s="545" t="s">
        <v>559</v>
      </c>
    </row>
    <row r="141" ht="15.75" customHeight="1">
      <c r="A141" s="494" t="s">
        <v>550</v>
      </c>
      <c r="B141" s="494" t="s">
        <v>10</v>
      </c>
      <c r="C141" s="502" t="s">
        <v>11</v>
      </c>
      <c r="D141" s="502" t="s">
        <v>10</v>
      </c>
      <c r="E141" s="502" t="s">
        <v>11</v>
      </c>
      <c r="F141" s="494" t="s">
        <v>10</v>
      </c>
      <c r="G141" s="502" t="s">
        <v>11</v>
      </c>
      <c r="H141" s="502" t="s">
        <v>10</v>
      </c>
      <c r="I141" s="502" t="s">
        <v>11</v>
      </c>
      <c r="K141" s="494" t="s">
        <v>550</v>
      </c>
      <c r="L141" s="494" t="s">
        <v>10</v>
      </c>
      <c r="M141" s="502" t="s">
        <v>11</v>
      </c>
      <c r="O141" s="494" t="s">
        <v>550</v>
      </c>
      <c r="P141" s="546" t="s">
        <v>560</v>
      </c>
      <c r="Q141" s="488" t="s">
        <v>71</v>
      </c>
      <c r="R141" s="488" t="s">
        <v>69</v>
      </c>
      <c r="S141" s="494" t="s">
        <v>70</v>
      </c>
      <c r="U141" s="494" t="s">
        <v>550</v>
      </c>
      <c r="V141" s="488" t="s">
        <v>561</v>
      </c>
      <c r="W141" s="488"/>
      <c r="X141" s="494"/>
      <c r="AE141" s="494"/>
      <c r="AF141" s="494"/>
      <c r="AG141" s="502"/>
      <c r="AH141" s="502"/>
      <c r="AI141" s="502"/>
      <c r="AJ141" s="494"/>
      <c r="AK141" s="502"/>
      <c r="AL141" s="502"/>
      <c r="AM141" s="502"/>
      <c r="AO141" s="494" t="s">
        <v>550</v>
      </c>
      <c r="AP141" s="494" t="s">
        <v>10</v>
      </c>
      <c r="AQ141" s="502" t="s">
        <v>11</v>
      </c>
      <c r="AR141" s="502" t="s">
        <v>10</v>
      </c>
      <c r="AS141" s="502" t="s">
        <v>11</v>
      </c>
      <c r="AT141" s="494" t="s">
        <v>10</v>
      </c>
      <c r="AU141" s="502" t="s">
        <v>11</v>
      </c>
      <c r="AV141" s="502" t="s">
        <v>10</v>
      </c>
      <c r="AW141" s="502" t="s">
        <v>11</v>
      </c>
      <c r="AX141" s="547" t="s">
        <v>559</v>
      </c>
      <c r="BA141" s="494" t="s">
        <v>104</v>
      </c>
      <c r="BB141" s="494" t="s">
        <v>10</v>
      </c>
      <c r="BC141" s="502" t="s">
        <v>11</v>
      </c>
      <c r="BD141" s="502" t="s">
        <v>10</v>
      </c>
      <c r="BE141" s="502" t="s">
        <v>11</v>
      </c>
      <c r="BF141" s="494" t="s">
        <v>10</v>
      </c>
      <c r="BG141" s="502" t="s">
        <v>11</v>
      </c>
      <c r="BH141" s="502" t="s">
        <v>10</v>
      </c>
      <c r="BI141" s="502" t="s">
        <v>11</v>
      </c>
      <c r="BJ141" s="548"/>
      <c r="BL141" s="3"/>
    </row>
    <row r="142" ht="15.75" customHeight="1">
      <c r="A142" s="494">
        <v>1.0</v>
      </c>
      <c r="B142" s="36"/>
      <c r="C142" s="36"/>
      <c r="D142" s="36"/>
      <c r="E142" s="36"/>
      <c r="F142" s="36"/>
      <c r="G142" s="36"/>
      <c r="H142" s="36"/>
      <c r="I142" s="36"/>
      <c r="K142" s="494">
        <v>1.0</v>
      </c>
      <c r="L142" s="506">
        <v>9.35</v>
      </c>
      <c r="M142" s="506">
        <v>13.25</v>
      </c>
      <c r="O142" s="494">
        <v>1.0</v>
      </c>
      <c r="P142" s="3">
        <v>0.0</v>
      </c>
      <c r="Q142" s="506">
        <v>1.5</v>
      </c>
      <c r="R142" s="506">
        <v>2.6</v>
      </c>
      <c r="S142" s="506">
        <v>2.8</v>
      </c>
      <c r="U142" s="494">
        <v>1.0</v>
      </c>
      <c r="V142" s="506">
        <v>2.0</v>
      </c>
      <c r="W142" s="506">
        <v>2.35</v>
      </c>
      <c r="X142" s="506">
        <v>2.35</v>
      </c>
      <c r="Y142" s="336">
        <v>2.5</v>
      </c>
      <c r="AE142" s="494"/>
      <c r="AF142" s="36"/>
      <c r="AG142" s="36"/>
      <c r="AH142" s="36"/>
      <c r="AI142" s="36"/>
      <c r="AJ142" s="36"/>
      <c r="AK142" s="36"/>
      <c r="AL142" s="36"/>
      <c r="AM142" s="36"/>
      <c r="AO142" s="494">
        <v>1.0</v>
      </c>
      <c r="AP142" s="549">
        <f t="shared" ref="AP142:AP148" si="284">$L142+$P142+$V142+$W142+$X142+$Y142</f>
        <v>18.55</v>
      </c>
      <c r="AQ142" s="549">
        <f t="shared" ref="AQ142:AQ148" si="285">$M142+$P142+$V142+$W142+$X142+$Y142</f>
        <v>22.45</v>
      </c>
      <c r="AR142" s="549">
        <f t="shared" ref="AR142:AR148" si="286">$L142+$Q142+$V142+$W142+$X142+$Y142</f>
        <v>20.05</v>
      </c>
      <c r="AS142" s="549">
        <f t="shared" ref="AS142:AS148" si="287">$M142+$Q142+$V142+$W142+$X142+$Y142</f>
        <v>23.95</v>
      </c>
      <c r="AT142" s="549">
        <f t="shared" ref="AT142:AT148" si="288">$L142+$R142+$V142+$W142+$X142+$Y142</f>
        <v>21.15</v>
      </c>
      <c r="AU142" s="549">
        <f t="shared" ref="AU142:AU148" si="289">$M142+$R142+$V142+$W142+$X142+$Y142</f>
        <v>25.05</v>
      </c>
      <c r="AV142" s="549">
        <f t="shared" ref="AV142:AV148" si="290">$L142+$S142+$V142+$W142+$X142+$Y142</f>
        <v>21.35</v>
      </c>
      <c r="AW142" s="549">
        <f t="shared" ref="AW142:AW148" si="291">$M142+$S142+$V142+$W142+$X142+$Y142</f>
        <v>25.25</v>
      </c>
      <c r="AX142" s="3">
        <v>14.0</v>
      </c>
      <c r="BA142" s="494">
        <v>1.0</v>
      </c>
      <c r="BB142" s="524">
        <v>19.0</v>
      </c>
      <c r="BC142" s="524">
        <v>23.0</v>
      </c>
      <c r="BD142" s="524">
        <v>21.0</v>
      </c>
      <c r="BE142" s="524">
        <v>24.0</v>
      </c>
      <c r="BF142" s="524">
        <v>22.0</v>
      </c>
      <c r="BG142" s="524">
        <v>26.0</v>
      </c>
      <c r="BH142" s="524">
        <v>23.0</v>
      </c>
      <c r="BI142" s="524">
        <v>27.0</v>
      </c>
      <c r="BJ142" s="524">
        <v>14.0</v>
      </c>
      <c r="BO142" s="336"/>
    </row>
    <row r="143" ht="15.75" customHeight="1">
      <c r="A143" s="494" t="s">
        <v>434</v>
      </c>
      <c r="B143" s="36"/>
      <c r="C143" s="36"/>
      <c r="D143" s="36"/>
      <c r="E143" s="36"/>
      <c r="F143" s="36"/>
      <c r="G143" s="36"/>
      <c r="H143" s="36"/>
      <c r="I143" s="36"/>
      <c r="K143" s="494" t="s">
        <v>434</v>
      </c>
      <c r="L143" s="506">
        <v>7.55</v>
      </c>
      <c r="M143" s="506">
        <v>11.0</v>
      </c>
      <c r="O143" s="494" t="s">
        <v>434</v>
      </c>
      <c r="P143" s="3">
        <v>0.0</v>
      </c>
      <c r="Q143" s="506">
        <v>1.5</v>
      </c>
      <c r="R143" s="506">
        <v>2.6</v>
      </c>
      <c r="S143" s="506">
        <v>2.8</v>
      </c>
      <c r="U143" s="494" t="s">
        <v>434</v>
      </c>
      <c r="V143" s="506">
        <v>0.9</v>
      </c>
      <c r="W143" s="506">
        <v>2.25</v>
      </c>
      <c r="X143" s="506">
        <v>2.25</v>
      </c>
      <c r="Y143" s="336">
        <f>W143+1.25</f>
        <v>3.5</v>
      </c>
      <c r="AE143" s="494"/>
      <c r="AF143" s="36"/>
      <c r="AG143" s="36"/>
      <c r="AJ143" s="36"/>
      <c r="AK143" s="36"/>
      <c r="AL143" s="36"/>
      <c r="AM143" s="36"/>
      <c r="AO143" s="494" t="s">
        <v>434</v>
      </c>
      <c r="AP143" s="549">
        <f t="shared" si="284"/>
        <v>16.45</v>
      </c>
      <c r="AQ143" s="549">
        <f t="shared" si="285"/>
        <v>19.9</v>
      </c>
      <c r="AR143" s="549">
        <f t="shared" si="286"/>
        <v>17.95</v>
      </c>
      <c r="AS143" s="549">
        <f t="shared" si="287"/>
        <v>21.4</v>
      </c>
      <c r="AT143" s="549">
        <f t="shared" si="288"/>
        <v>19.05</v>
      </c>
      <c r="AU143" s="549">
        <f t="shared" si="289"/>
        <v>22.5</v>
      </c>
      <c r="AV143" s="549">
        <f t="shared" si="290"/>
        <v>19.25</v>
      </c>
      <c r="AW143" s="549">
        <f t="shared" si="291"/>
        <v>22.7</v>
      </c>
      <c r="AX143" s="3">
        <v>11.0</v>
      </c>
      <c r="BA143" s="494" t="s">
        <v>434</v>
      </c>
      <c r="BB143" s="524">
        <v>17.0</v>
      </c>
      <c r="BC143" s="524">
        <v>20.0</v>
      </c>
      <c r="BD143" s="524">
        <v>18.0</v>
      </c>
      <c r="BE143" s="524">
        <v>22.0</v>
      </c>
      <c r="BF143" s="524">
        <v>20.0</v>
      </c>
      <c r="BG143" s="524">
        <v>23.0</v>
      </c>
      <c r="BH143" s="524">
        <v>21.0</v>
      </c>
      <c r="BI143" s="524">
        <v>24.0</v>
      </c>
      <c r="BJ143" s="524">
        <v>11.0</v>
      </c>
    </row>
    <row r="144" ht="15.75" customHeight="1">
      <c r="A144" s="494" t="s">
        <v>186</v>
      </c>
      <c r="B144" s="36"/>
      <c r="C144" s="36"/>
      <c r="D144" s="36"/>
      <c r="E144" s="36"/>
      <c r="F144" s="36"/>
      <c r="G144" s="36"/>
      <c r="H144" s="36"/>
      <c r="I144" s="36"/>
      <c r="K144" s="494" t="s">
        <v>186</v>
      </c>
      <c r="L144" s="506">
        <v>6.65</v>
      </c>
      <c r="M144" s="506">
        <v>9.95</v>
      </c>
      <c r="O144" s="494" t="s">
        <v>186</v>
      </c>
      <c r="P144" s="3">
        <v>0.0</v>
      </c>
      <c r="Q144" s="506">
        <v>1.25</v>
      </c>
      <c r="R144" s="506">
        <v>2.5</v>
      </c>
      <c r="S144" s="506">
        <v>2.55</v>
      </c>
      <c r="U144" s="494" t="s">
        <v>186</v>
      </c>
      <c r="V144" s="506">
        <v>0.8</v>
      </c>
      <c r="W144" s="506">
        <v>2.15</v>
      </c>
      <c r="X144" s="506">
        <v>2.15</v>
      </c>
      <c r="Y144" s="336">
        <v>2.0</v>
      </c>
      <c r="AE144" s="494"/>
      <c r="AF144" s="36"/>
      <c r="AG144" s="36"/>
      <c r="AJ144" s="36"/>
      <c r="AK144" s="36"/>
      <c r="AL144" s="36"/>
      <c r="AM144" s="36"/>
      <c r="AO144" s="494" t="s">
        <v>186</v>
      </c>
      <c r="AP144" s="550">
        <f t="shared" si="284"/>
        <v>13.75</v>
      </c>
      <c r="AQ144" s="549">
        <f t="shared" si="285"/>
        <v>17.05</v>
      </c>
      <c r="AR144" s="550">
        <f t="shared" si="286"/>
        <v>15</v>
      </c>
      <c r="AS144" s="549">
        <f t="shared" si="287"/>
        <v>18.3</v>
      </c>
      <c r="AT144" s="549">
        <f t="shared" si="288"/>
        <v>16.25</v>
      </c>
      <c r="AU144" s="549">
        <f t="shared" si="289"/>
        <v>19.55</v>
      </c>
      <c r="AV144" s="549">
        <f t="shared" si="290"/>
        <v>16.3</v>
      </c>
      <c r="AW144" s="549">
        <f t="shared" si="291"/>
        <v>19.6</v>
      </c>
      <c r="AX144" s="3">
        <v>10.0</v>
      </c>
      <c r="BA144" s="494" t="s">
        <v>186</v>
      </c>
      <c r="BB144" s="524">
        <v>15.0</v>
      </c>
      <c r="BC144" s="524">
        <v>18.0</v>
      </c>
      <c r="BD144" s="524">
        <v>16.0</v>
      </c>
      <c r="BE144" s="524">
        <v>19.0</v>
      </c>
      <c r="BF144" s="524">
        <v>17.0</v>
      </c>
      <c r="BG144" s="524">
        <v>20.0</v>
      </c>
      <c r="BH144" s="524">
        <v>18.0</v>
      </c>
      <c r="BI144" s="524">
        <v>21.0</v>
      </c>
      <c r="BJ144" s="524">
        <v>10.0</v>
      </c>
    </row>
    <row r="145" ht="15.75" customHeight="1">
      <c r="A145" s="494" t="s">
        <v>181</v>
      </c>
      <c r="B145" s="36"/>
      <c r="C145" s="36"/>
      <c r="D145" s="36"/>
      <c r="E145" s="36"/>
      <c r="F145" s="36"/>
      <c r="G145" s="36"/>
      <c r="H145" s="36"/>
      <c r="I145" s="36"/>
      <c r="K145" s="494" t="s">
        <v>181</v>
      </c>
      <c r="L145" s="506">
        <v>6.5</v>
      </c>
      <c r="M145" s="506">
        <v>9.8</v>
      </c>
      <c r="O145" s="494" t="s">
        <v>181</v>
      </c>
      <c r="P145" s="3">
        <v>0.0</v>
      </c>
      <c r="Q145" s="506">
        <v>1.2</v>
      </c>
      <c r="R145" s="506">
        <v>2.35</v>
      </c>
      <c r="S145" s="506">
        <v>2.4</v>
      </c>
      <c r="U145" s="494" t="s">
        <v>181</v>
      </c>
      <c r="V145" s="506">
        <v>0.7</v>
      </c>
      <c r="W145" s="506">
        <v>2.05</v>
      </c>
      <c r="X145" s="506">
        <v>2.05</v>
      </c>
      <c r="Y145" s="336">
        <v>1.75</v>
      </c>
      <c r="AE145" s="494"/>
      <c r="AF145" s="36"/>
      <c r="AG145" s="36"/>
      <c r="AJ145" s="36"/>
      <c r="AK145" s="36"/>
      <c r="AL145" s="36"/>
      <c r="AM145" s="36"/>
      <c r="AO145" s="494" t="s">
        <v>181</v>
      </c>
      <c r="AP145" s="549">
        <f t="shared" si="284"/>
        <v>13.05</v>
      </c>
      <c r="AQ145" s="549">
        <f t="shared" si="285"/>
        <v>16.35</v>
      </c>
      <c r="AR145" s="549">
        <f t="shared" si="286"/>
        <v>14.25</v>
      </c>
      <c r="AS145" s="549">
        <f t="shared" si="287"/>
        <v>17.55</v>
      </c>
      <c r="AT145" s="549">
        <f t="shared" si="288"/>
        <v>15.4</v>
      </c>
      <c r="AU145" s="549">
        <f t="shared" si="289"/>
        <v>18.7</v>
      </c>
      <c r="AV145" s="549">
        <f t="shared" si="290"/>
        <v>15.45</v>
      </c>
      <c r="AW145" s="549">
        <f t="shared" si="291"/>
        <v>18.75</v>
      </c>
      <c r="AX145" s="3">
        <v>9.0</v>
      </c>
      <c r="BA145" s="494" t="s">
        <v>181</v>
      </c>
      <c r="BB145" s="524">
        <v>14.0</v>
      </c>
      <c r="BC145" s="524">
        <v>17.0</v>
      </c>
      <c r="BD145" s="524">
        <v>15.0</v>
      </c>
      <c r="BE145" s="524">
        <v>18.0</v>
      </c>
      <c r="BF145" s="524">
        <v>16.0</v>
      </c>
      <c r="BG145" s="524">
        <v>19.0</v>
      </c>
      <c r="BH145" s="524">
        <v>17.0</v>
      </c>
      <c r="BI145" s="524">
        <v>20.0</v>
      </c>
      <c r="BJ145" s="524">
        <v>9.0</v>
      </c>
    </row>
    <row r="146" ht="15.75" customHeight="1">
      <c r="A146" s="494" t="s">
        <v>182</v>
      </c>
      <c r="B146" s="36"/>
      <c r="C146" s="36"/>
      <c r="D146" s="36"/>
      <c r="E146" s="36"/>
      <c r="F146" s="36"/>
      <c r="G146" s="36"/>
      <c r="H146" s="36"/>
      <c r="I146" s="36"/>
      <c r="K146" s="494" t="s">
        <v>182</v>
      </c>
      <c r="L146" s="506">
        <v>6.35</v>
      </c>
      <c r="M146" s="506">
        <v>9.5</v>
      </c>
      <c r="O146" s="494" t="s">
        <v>182</v>
      </c>
      <c r="P146" s="3">
        <v>0.0</v>
      </c>
      <c r="Q146" s="506">
        <v>1.15</v>
      </c>
      <c r="R146" s="506">
        <v>2.2</v>
      </c>
      <c r="S146" s="506">
        <v>2.25</v>
      </c>
      <c r="U146" s="494" t="s">
        <v>182</v>
      </c>
      <c r="V146" s="506">
        <v>0.5</v>
      </c>
      <c r="W146" s="506">
        <v>1.95</v>
      </c>
      <c r="X146" s="506">
        <v>1.95</v>
      </c>
      <c r="Y146" s="336">
        <v>1.5</v>
      </c>
      <c r="AE146" s="494"/>
      <c r="AF146" s="36"/>
      <c r="AG146" s="36"/>
      <c r="AJ146" s="36"/>
      <c r="AK146" s="36"/>
      <c r="AL146" s="36"/>
      <c r="AM146" s="36"/>
      <c r="AO146" s="494" t="s">
        <v>182</v>
      </c>
      <c r="AP146" s="549">
        <f t="shared" si="284"/>
        <v>12.25</v>
      </c>
      <c r="AQ146" s="549">
        <f t="shared" si="285"/>
        <v>15.4</v>
      </c>
      <c r="AR146" s="549">
        <f t="shared" si="286"/>
        <v>13.4</v>
      </c>
      <c r="AS146" s="549">
        <f t="shared" si="287"/>
        <v>16.55</v>
      </c>
      <c r="AT146" s="549">
        <f t="shared" si="288"/>
        <v>14.45</v>
      </c>
      <c r="AU146" s="549">
        <f t="shared" si="289"/>
        <v>17.6</v>
      </c>
      <c r="AV146" s="549">
        <f t="shared" si="290"/>
        <v>14.5</v>
      </c>
      <c r="AW146" s="549">
        <f t="shared" si="291"/>
        <v>17.65</v>
      </c>
      <c r="AX146" s="3">
        <v>8.0</v>
      </c>
      <c r="BA146" s="494" t="s">
        <v>182</v>
      </c>
      <c r="BB146" s="524">
        <v>13.0</v>
      </c>
      <c r="BC146" s="524">
        <v>16.0</v>
      </c>
      <c r="BD146" s="524">
        <v>14.0</v>
      </c>
      <c r="BE146" s="524">
        <v>17.0</v>
      </c>
      <c r="BF146" s="524">
        <v>15.0</v>
      </c>
      <c r="BG146" s="524">
        <v>18.0</v>
      </c>
      <c r="BH146" s="524">
        <v>16.0</v>
      </c>
      <c r="BI146" s="524">
        <v>19.0</v>
      </c>
      <c r="BJ146" s="524">
        <v>8.0</v>
      </c>
    </row>
    <row r="147" ht="15.75" customHeight="1">
      <c r="A147" s="494" t="s">
        <v>18</v>
      </c>
      <c r="K147" s="494" t="s">
        <v>18</v>
      </c>
      <c r="L147" s="551">
        <v>6.2</v>
      </c>
      <c r="M147" s="551">
        <v>9.35</v>
      </c>
      <c r="O147" s="494" t="s">
        <v>18</v>
      </c>
      <c r="P147" s="3">
        <v>0.0</v>
      </c>
      <c r="Q147" s="506">
        <v>1.15</v>
      </c>
      <c r="R147" s="506">
        <v>2.2</v>
      </c>
      <c r="S147" s="506">
        <v>2.25</v>
      </c>
      <c r="U147" s="494" t="s">
        <v>18</v>
      </c>
      <c r="V147" s="506">
        <v>0.4</v>
      </c>
      <c r="W147" s="506">
        <v>0.75</v>
      </c>
      <c r="X147" s="506">
        <v>0.75</v>
      </c>
      <c r="Y147" s="336">
        <v>0.5</v>
      </c>
      <c r="AO147" s="494" t="s">
        <v>18</v>
      </c>
      <c r="AP147" s="549">
        <f t="shared" si="284"/>
        <v>8.6</v>
      </c>
      <c r="AQ147" s="549">
        <f t="shared" si="285"/>
        <v>11.75</v>
      </c>
      <c r="AR147" s="549">
        <f t="shared" si="286"/>
        <v>9.75</v>
      </c>
      <c r="AS147" s="549">
        <f t="shared" si="287"/>
        <v>12.9</v>
      </c>
      <c r="AT147" s="549">
        <f t="shared" si="288"/>
        <v>10.8</v>
      </c>
      <c r="AU147" s="549">
        <f t="shared" si="289"/>
        <v>13.95</v>
      </c>
      <c r="AV147" s="549">
        <f t="shared" si="290"/>
        <v>10.85</v>
      </c>
      <c r="AW147" s="549">
        <f t="shared" si="291"/>
        <v>14</v>
      </c>
      <c r="AX147" s="3">
        <v>7.0</v>
      </c>
      <c r="BA147" s="494" t="s">
        <v>18</v>
      </c>
      <c r="BB147" s="524">
        <v>9.0</v>
      </c>
      <c r="BC147" s="524">
        <v>12.0</v>
      </c>
      <c r="BD147" s="524">
        <v>10.0</v>
      </c>
      <c r="BE147" s="524">
        <v>13.0</v>
      </c>
      <c r="BF147" s="524">
        <v>11.0</v>
      </c>
      <c r="BG147" s="524">
        <v>14.0</v>
      </c>
      <c r="BH147" s="524">
        <v>12.0</v>
      </c>
      <c r="BI147" s="524">
        <v>15.0</v>
      </c>
      <c r="BJ147" s="524">
        <v>7.0</v>
      </c>
    </row>
    <row r="148" ht="15.75" customHeight="1">
      <c r="A148" s="546" t="s">
        <v>19</v>
      </c>
      <c r="K148" s="546" t="s">
        <v>19</v>
      </c>
      <c r="L148" s="551">
        <v>6.05</v>
      </c>
      <c r="M148" s="551">
        <v>9.05</v>
      </c>
      <c r="O148" s="494" t="s">
        <v>19</v>
      </c>
      <c r="P148" s="3">
        <v>0.0</v>
      </c>
      <c r="Q148" s="506">
        <v>1.1</v>
      </c>
      <c r="R148" s="506">
        <v>2.0</v>
      </c>
      <c r="S148" s="506">
        <v>2.25</v>
      </c>
      <c r="U148" s="494" t="s">
        <v>19</v>
      </c>
      <c r="V148" s="506">
        <v>0.3</v>
      </c>
      <c r="W148" s="506">
        <v>0.5</v>
      </c>
      <c r="X148" s="506">
        <v>0.5</v>
      </c>
      <c r="Y148" s="336">
        <v>0.25</v>
      </c>
      <c r="AO148" s="494" t="s">
        <v>19</v>
      </c>
      <c r="AP148" s="549">
        <f t="shared" si="284"/>
        <v>7.6</v>
      </c>
      <c r="AQ148" s="549">
        <f t="shared" si="285"/>
        <v>10.6</v>
      </c>
      <c r="AR148" s="549">
        <f t="shared" si="286"/>
        <v>8.7</v>
      </c>
      <c r="AS148" s="549">
        <f t="shared" si="287"/>
        <v>11.7</v>
      </c>
      <c r="AT148" s="549">
        <f t="shared" si="288"/>
        <v>9.6</v>
      </c>
      <c r="AU148" s="549">
        <f t="shared" si="289"/>
        <v>12.6</v>
      </c>
      <c r="AV148" s="550">
        <f t="shared" si="290"/>
        <v>9.85</v>
      </c>
      <c r="AW148" s="549">
        <f t="shared" si="291"/>
        <v>12.85</v>
      </c>
      <c r="AX148" s="3">
        <v>6.0</v>
      </c>
      <c r="BA148" s="494" t="s">
        <v>19</v>
      </c>
      <c r="BB148" s="524">
        <v>8.0</v>
      </c>
      <c r="BC148" s="524">
        <v>11.0</v>
      </c>
      <c r="BD148" s="524">
        <v>9.0</v>
      </c>
      <c r="BE148" s="524">
        <v>12.0</v>
      </c>
      <c r="BF148" s="524">
        <v>10.0</v>
      </c>
      <c r="BG148" s="524">
        <v>13.0</v>
      </c>
      <c r="BH148" s="524">
        <v>11.0</v>
      </c>
      <c r="BI148" s="524">
        <v>14.0</v>
      </c>
      <c r="BJ148" s="524">
        <v>5.0</v>
      </c>
    </row>
    <row r="149" ht="15.75" customHeight="1">
      <c r="BN149" s="107" t="s">
        <v>562</v>
      </c>
    </row>
    <row r="150" ht="15.75" customHeight="1">
      <c r="BN150" s="3" t="s">
        <v>563</v>
      </c>
    </row>
    <row r="151" ht="15.75" customHeight="1">
      <c r="O151" s="18" t="s">
        <v>68</v>
      </c>
      <c r="P151" s="18" t="s">
        <v>73</v>
      </c>
      <c r="Q151" s="18" t="s">
        <v>72</v>
      </c>
      <c r="R151" s="18" t="s">
        <v>71</v>
      </c>
      <c r="BN151" s="3" t="s">
        <v>564</v>
      </c>
    </row>
    <row r="152" ht="15.75" customHeight="1">
      <c r="A152" s="3" t="s">
        <v>295</v>
      </c>
      <c r="F152" s="3" t="s">
        <v>4</v>
      </c>
      <c r="O152" s="36" t="s">
        <v>75</v>
      </c>
      <c r="P152" s="29">
        <v>2.8</v>
      </c>
      <c r="Q152" s="29">
        <v>2.6</v>
      </c>
      <c r="R152" s="29">
        <v>1.5</v>
      </c>
      <c r="BN152" s="3" t="s">
        <v>565</v>
      </c>
    </row>
    <row r="153" ht="15.75" customHeight="1">
      <c r="A153" s="3" t="s">
        <v>297</v>
      </c>
      <c r="F153" s="3" t="s">
        <v>10</v>
      </c>
      <c r="G153" s="3" t="s">
        <v>11</v>
      </c>
      <c r="O153" s="552" t="s">
        <v>76</v>
      </c>
      <c r="P153" s="29">
        <v>2.55</v>
      </c>
      <c r="Q153" s="29">
        <v>2.5</v>
      </c>
      <c r="R153" s="29">
        <v>1.25</v>
      </c>
      <c r="BA153" s="107" t="s">
        <v>508</v>
      </c>
      <c r="BF153" s="457" t="s">
        <v>277</v>
      </c>
      <c r="BG153" s="11"/>
      <c r="BH153" s="11"/>
      <c r="BI153" s="12"/>
      <c r="BL153" s="553" t="s">
        <v>566</v>
      </c>
      <c r="BM153" s="281" t="s">
        <v>104</v>
      </c>
      <c r="BN153" s="494" t="s">
        <v>125</v>
      </c>
      <c r="BO153" s="502" t="s">
        <v>567</v>
      </c>
      <c r="BP153" s="494" t="s">
        <v>568</v>
      </c>
      <c r="BQ153" s="502" t="s">
        <v>569</v>
      </c>
      <c r="BR153" s="494" t="s">
        <v>570</v>
      </c>
      <c r="BS153" s="502" t="s">
        <v>569</v>
      </c>
      <c r="BT153" s="494" t="s">
        <v>571</v>
      </c>
      <c r="BU153" s="502" t="s">
        <v>569</v>
      </c>
    </row>
    <row r="154" ht="15.75" customHeight="1">
      <c r="A154" s="109">
        <v>1.0</v>
      </c>
      <c r="B154" s="20"/>
      <c r="C154" s="20"/>
      <c r="D154" s="20"/>
      <c r="E154" s="20"/>
      <c r="F154" s="20">
        <v>9.3488</v>
      </c>
      <c r="G154" s="20">
        <v>13.248800000000001</v>
      </c>
      <c r="O154" s="36" t="s">
        <v>77</v>
      </c>
      <c r="P154" s="29">
        <v>2.4</v>
      </c>
      <c r="Q154" s="29">
        <v>2.35</v>
      </c>
      <c r="R154" s="29">
        <v>1.2</v>
      </c>
      <c r="BL154" s="111" t="s">
        <v>572</v>
      </c>
      <c r="BM154" s="281">
        <v>50.0</v>
      </c>
      <c r="BN154" s="45">
        <v>120.0</v>
      </c>
      <c r="BO154" s="503">
        <v>75.0</v>
      </c>
      <c r="BP154" s="45">
        <v>140.0</v>
      </c>
      <c r="BQ154" s="503">
        <v>80.0</v>
      </c>
      <c r="BR154" s="36">
        <v>185.0</v>
      </c>
      <c r="BS154" s="503">
        <v>80.0</v>
      </c>
      <c r="BT154" s="554">
        <v>185.0</v>
      </c>
      <c r="BU154" s="503">
        <v>80.0</v>
      </c>
    </row>
    <row r="155" ht="15.75" customHeight="1">
      <c r="A155" s="3" t="s">
        <v>179</v>
      </c>
      <c r="B155" s="20"/>
      <c r="C155" s="20"/>
      <c r="D155" s="20"/>
      <c r="E155" s="20"/>
      <c r="F155" s="20">
        <v>7.5488</v>
      </c>
      <c r="G155" s="20">
        <v>10.9988</v>
      </c>
      <c r="O155" s="36" t="s">
        <v>78</v>
      </c>
      <c r="P155" s="29">
        <v>2.25</v>
      </c>
      <c r="Q155" s="29">
        <v>2.2</v>
      </c>
      <c r="R155" s="29">
        <v>1.15</v>
      </c>
      <c r="BB155" s="281" t="s">
        <v>16</v>
      </c>
      <c r="BF155" s="281" t="s">
        <v>278</v>
      </c>
      <c r="BG155" s="281" t="s">
        <v>279</v>
      </c>
      <c r="BH155" s="281" t="s">
        <v>279</v>
      </c>
      <c r="BI155" s="281" t="s">
        <v>280</v>
      </c>
      <c r="BL155" s="111" t="s">
        <v>572</v>
      </c>
      <c r="BM155" s="281">
        <v>100.0</v>
      </c>
      <c r="BN155" s="45">
        <v>190.0</v>
      </c>
      <c r="BO155" s="503">
        <v>150.0</v>
      </c>
      <c r="BP155" s="45">
        <v>230.0</v>
      </c>
      <c r="BQ155" s="503">
        <v>190.0</v>
      </c>
      <c r="BR155" s="36">
        <v>310.0</v>
      </c>
      <c r="BS155" s="503">
        <v>190.0</v>
      </c>
      <c r="BT155" s="45">
        <v>310.0</v>
      </c>
      <c r="BU155" s="503">
        <v>190.0</v>
      </c>
      <c r="BW155" s="3"/>
    </row>
    <row r="156" ht="15.75" customHeight="1">
      <c r="A156" s="3" t="s">
        <v>180</v>
      </c>
      <c r="B156" s="20"/>
      <c r="C156" s="20"/>
      <c r="D156" s="20"/>
      <c r="E156" s="20"/>
      <c r="F156" s="20">
        <v>6.6488</v>
      </c>
      <c r="G156" s="20">
        <v>9.9488</v>
      </c>
      <c r="O156" s="36" t="s">
        <v>79</v>
      </c>
      <c r="P156" s="29">
        <v>2.05</v>
      </c>
      <c r="Q156" s="29">
        <v>2.0</v>
      </c>
      <c r="R156" s="29">
        <v>1.1</v>
      </c>
      <c r="BA156" s="281" t="s">
        <v>104</v>
      </c>
      <c r="BB156" s="281" t="s">
        <v>84</v>
      </c>
      <c r="BE156" s="281" t="s">
        <v>287</v>
      </c>
      <c r="BF156" s="281" t="s">
        <v>281</v>
      </c>
      <c r="BG156" s="281" t="s">
        <v>282</v>
      </c>
      <c r="BH156" s="281" t="s">
        <v>283</v>
      </c>
      <c r="BI156" s="281" t="s">
        <v>284</v>
      </c>
      <c r="BL156" s="111" t="s">
        <v>572</v>
      </c>
      <c r="BM156" s="281">
        <v>250.0</v>
      </c>
      <c r="BN156" s="45">
        <v>315.0</v>
      </c>
      <c r="BO156" s="503">
        <v>180.0</v>
      </c>
      <c r="BP156" s="45">
        <v>445.0</v>
      </c>
      <c r="BQ156" s="503">
        <v>220.0</v>
      </c>
      <c r="BR156" s="36">
        <v>625.0</v>
      </c>
      <c r="BS156" s="503">
        <v>220.0</v>
      </c>
      <c r="BT156" s="45">
        <v>625.0</v>
      </c>
      <c r="BU156" s="503">
        <v>220.0</v>
      </c>
      <c r="BW156" s="3"/>
    </row>
    <row r="157" ht="15.75" customHeight="1">
      <c r="A157" s="3" t="s">
        <v>181</v>
      </c>
      <c r="B157" s="20"/>
      <c r="C157" s="20"/>
      <c r="D157" s="20"/>
      <c r="E157" s="20"/>
      <c r="F157" s="20">
        <v>6.498799999999999</v>
      </c>
      <c r="G157" s="20">
        <v>9.7988</v>
      </c>
      <c r="BA157" s="281">
        <v>100.0</v>
      </c>
      <c r="BB157" s="555">
        <v>303.31399999999996</v>
      </c>
      <c r="BE157" s="281" t="s">
        <v>104</v>
      </c>
      <c r="BF157" s="281" t="s">
        <v>10</v>
      </c>
      <c r="BG157" s="281" t="s">
        <v>10</v>
      </c>
      <c r="BH157" s="281" t="s">
        <v>10</v>
      </c>
      <c r="BI157" s="281" t="s">
        <v>10</v>
      </c>
      <c r="BL157" s="111" t="s">
        <v>572</v>
      </c>
      <c r="BM157" s="281">
        <v>500.0</v>
      </c>
      <c r="BN157" s="45">
        <v>570.0</v>
      </c>
      <c r="BO157" s="503">
        <v>210.0</v>
      </c>
      <c r="BP157" s="45">
        <v>755.0</v>
      </c>
      <c r="BQ157" s="503">
        <v>275.0</v>
      </c>
      <c r="BR157" s="36">
        <v>1155.0</v>
      </c>
      <c r="BS157" s="503">
        <v>275.0</v>
      </c>
      <c r="BT157" s="45">
        <v>1150.0</v>
      </c>
      <c r="BU157" s="503">
        <v>250.0</v>
      </c>
      <c r="BW157" s="3"/>
    </row>
    <row r="158" ht="15.75" customHeight="1">
      <c r="A158" s="3" t="s">
        <v>182</v>
      </c>
      <c r="B158" s="20"/>
      <c r="C158" s="20"/>
      <c r="D158" s="20"/>
      <c r="E158" s="20"/>
      <c r="F158" s="20">
        <v>6.348800000000001</v>
      </c>
      <c r="G158" s="20">
        <v>9.498800000000001</v>
      </c>
      <c r="BA158" s="281">
        <v>200.0</v>
      </c>
      <c r="BB158" s="555">
        <v>551.6279999999999</v>
      </c>
      <c r="BC158" s="3"/>
      <c r="BE158" s="281">
        <v>100.0</v>
      </c>
      <c r="BF158" s="556">
        <v>118.0</v>
      </c>
      <c r="BG158" s="556">
        <v>132.0</v>
      </c>
      <c r="BH158" s="556">
        <v>125.0</v>
      </c>
      <c r="BI158" s="556">
        <v>85.0</v>
      </c>
      <c r="BM158" s="3" t="s">
        <v>573</v>
      </c>
    </row>
    <row r="159" ht="15.75" customHeight="1">
      <c r="A159" s="3" t="s">
        <v>18</v>
      </c>
      <c r="B159" s="20"/>
      <c r="C159" s="20"/>
      <c r="D159" s="20"/>
      <c r="E159" s="20"/>
      <c r="F159" s="20">
        <v>6.1988</v>
      </c>
      <c r="G159" s="20">
        <v>9.3488</v>
      </c>
      <c r="BA159" s="281">
        <v>300.0</v>
      </c>
      <c r="BB159" s="555">
        <v>810.942</v>
      </c>
      <c r="BC159" s="3"/>
      <c r="BE159" s="281">
        <v>200.0</v>
      </c>
      <c r="BF159" s="556">
        <v>113.0</v>
      </c>
      <c r="BG159" s="556">
        <v>125.0</v>
      </c>
      <c r="BH159" s="556">
        <v>119.0</v>
      </c>
      <c r="BI159" s="556">
        <v>83.0</v>
      </c>
    </row>
    <row r="160" ht="15.75" customHeight="1">
      <c r="A160" s="3" t="s">
        <v>19</v>
      </c>
      <c r="B160" s="20"/>
      <c r="C160" s="20"/>
      <c r="D160" s="20"/>
      <c r="E160" s="20"/>
      <c r="F160" s="20">
        <v>6.0488</v>
      </c>
      <c r="G160" s="20">
        <v>9.0488</v>
      </c>
      <c r="BA160" s="281">
        <v>500.0</v>
      </c>
      <c r="BB160" s="555">
        <v>1266.3200000000004</v>
      </c>
      <c r="BC160" s="3"/>
      <c r="BE160" s="281">
        <v>300.0</v>
      </c>
      <c r="BF160" s="556">
        <v>107.0</v>
      </c>
      <c r="BG160" s="556">
        <v>118.0</v>
      </c>
      <c r="BH160" s="556">
        <v>113.0</v>
      </c>
      <c r="BI160" s="556">
        <v>81.0</v>
      </c>
      <c r="BM160" s="281" t="s">
        <v>104</v>
      </c>
      <c r="BN160" s="494" t="s">
        <v>125</v>
      </c>
      <c r="BO160" s="494" t="s">
        <v>567</v>
      </c>
      <c r="BP160" s="494" t="s">
        <v>568</v>
      </c>
      <c r="BQ160" s="494" t="s">
        <v>569</v>
      </c>
      <c r="BR160" s="494" t="s">
        <v>570</v>
      </c>
      <c r="BS160" s="494" t="s">
        <v>569</v>
      </c>
      <c r="BT160" s="494" t="s">
        <v>571</v>
      </c>
      <c r="BU160" s="494" t="s">
        <v>569</v>
      </c>
      <c r="BW160" s="3"/>
      <c r="BX160" s="3"/>
      <c r="BY160" s="3"/>
    </row>
    <row r="161" ht="15.75" customHeight="1">
      <c r="BA161" s="281">
        <v>1000.0</v>
      </c>
      <c r="BB161" s="555">
        <v>2395.1400000000003</v>
      </c>
      <c r="BC161" s="3"/>
      <c r="BE161" s="281">
        <v>500.0</v>
      </c>
      <c r="BF161" s="556">
        <v>102.0</v>
      </c>
      <c r="BG161" s="556">
        <v>112.0</v>
      </c>
      <c r="BH161" s="556">
        <v>107.0</v>
      </c>
      <c r="BI161" s="556">
        <v>79.0</v>
      </c>
      <c r="BL161" s="111" t="s">
        <v>388</v>
      </c>
      <c r="BM161" s="281">
        <v>1000.0</v>
      </c>
      <c r="BN161" s="45">
        <v>325.0</v>
      </c>
      <c r="BO161" s="503">
        <v>230.0</v>
      </c>
      <c r="BP161" s="45">
        <v>430.0</v>
      </c>
      <c r="BQ161" s="503">
        <v>275.0</v>
      </c>
      <c r="BR161" s="36">
        <v>645.0</v>
      </c>
      <c r="BS161" s="503">
        <v>275.0</v>
      </c>
      <c r="BT161" s="45">
        <v>645.0</v>
      </c>
      <c r="BU161" s="503">
        <v>275.0</v>
      </c>
      <c r="BW161" s="3"/>
      <c r="BX161" s="3"/>
      <c r="BY161" s="3"/>
    </row>
    <row r="162" ht="15.75" customHeight="1">
      <c r="BA162" s="3" t="s">
        <v>552</v>
      </c>
      <c r="BE162" s="281">
        <v>1000.0</v>
      </c>
      <c r="BF162" s="556">
        <v>97.0</v>
      </c>
      <c r="BG162" s="556">
        <v>105.0</v>
      </c>
      <c r="BH162" s="556">
        <v>101.0</v>
      </c>
      <c r="BI162" s="556">
        <v>77.0</v>
      </c>
      <c r="BL162" s="111" t="s">
        <v>388</v>
      </c>
      <c r="BM162" s="281">
        <v>2500.0</v>
      </c>
      <c r="BN162" s="45">
        <v>535.0</v>
      </c>
      <c r="BO162" s="503">
        <v>390.0</v>
      </c>
      <c r="BP162" s="45">
        <v>705.0</v>
      </c>
      <c r="BQ162" s="503">
        <v>460.0</v>
      </c>
      <c r="BR162" s="36">
        <v>1060.0</v>
      </c>
      <c r="BS162" s="503">
        <v>460.0</v>
      </c>
      <c r="BT162" s="45">
        <v>1060.0</v>
      </c>
      <c r="BU162" s="503">
        <v>460.0</v>
      </c>
      <c r="BW162" s="3"/>
      <c r="BX162" s="3"/>
      <c r="BY162" s="3"/>
    </row>
    <row r="163" ht="15.75" customHeight="1">
      <c r="BA163" s="3" t="s">
        <v>574</v>
      </c>
      <c r="BF163" s="512"/>
      <c r="BG163" s="3" t="s">
        <v>575</v>
      </c>
      <c r="BL163" s="111" t="s">
        <v>388</v>
      </c>
      <c r="BM163" s="281">
        <v>5000.0</v>
      </c>
      <c r="BN163" s="45">
        <v>740.0</v>
      </c>
      <c r="BO163" s="503">
        <v>470.0</v>
      </c>
      <c r="BP163" s="45">
        <v>995.0</v>
      </c>
      <c r="BQ163" s="503">
        <v>530.0</v>
      </c>
      <c r="BR163" s="36">
        <v>1450.0</v>
      </c>
      <c r="BS163" s="503">
        <v>530.0</v>
      </c>
      <c r="BT163" s="45">
        <v>1450.0</v>
      </c>
      <c r="BU163" s="503">
        <v>530.0</v>
      </c>
      <c r="BW163" s="3"/>
      <c r="BX163" s="3"/>
      <c r="BY163" s="3"/>
    </row>
    <row r="164" ht="15.75" customHeight="1">
      <c r="BA164" s="3" t="s">
        <v>576</v>
      </c>
      <c r="BE164" s="3"/>
      <c r="BF164" s="512"/>
      <c r="BL164" s="135"/>
      <c r="BM164" s="3" t="s">
        <v>577</v>
      </c>
      <c r="BW164" s="3"/>
      <c r="BX164" s="3"/>
      <c r="BY164" s="3"/>
    </row>
    <row r="165" ht="15.75" customHeight="1">
      <c r="BA165" s="3" t="s">
        <v>578</v>
      </c>
      <c r="BE165" s="3"/>
      <c r="BF165" s="281" t="s">
        <v>278</v>
      </c>
      <c r="BG165" s="281" t="s">
        <v>279</v>
      </c>
      <c r="BH165" s="281" t="s">
        <v>279</v>
      </c>
      <c r="BI165" s="281" t="s">
        <v>280</v>
      </c>
      <c r="BS165" s="3"/>
      <c r="BT165" s="3"/>
      <c r="BW165" s="3"/>
      <c r="BX165" s="3"/>
      <c r="BY165" s="3"/>
    </row>
    <row r="166" ht="15.75" customHeight="1">
      <c r="BD166" s="3">
        <v>1.2</v>
      </c>
      <c r="BE166" s="281" t="s">
        <v>287</v>
      </c>
      <c r="BF166" s="281" t="s">
        <v>281</v>
      </c>
      <c r="BG166" s="281" t="s">
        <v>282</v>
      </c>
      <c r="BH166" s="281" t="s">
        <v>283</v>
      </c>
      <c r="BI166" s="281" t="s">
        <v>284</v>
      </c>
      <c r="BP166" s="3"/>
      <c r="BQ166" s="3"/>
      <c r="BS166" s="3"/>
      <c r="BT166" s="3"/>
      <c r="BW166" s="3"/>
      <c r="BX166" s="3"/>
      <c r="BY166" s="3"/>
    </row>
    <row r="167" ht="15.75" customHeight="1">
      <c r="BD167" s="3">
        <v>1.2</v>
      </c>
      <c r="BE167" s="281" t="s">
        <v>104</v>
      </c>
      <c r="BF167" s="281" t="s">
        <v>10</v>
      </c>
      <c r="BG167" s="281" t="s">
        <v>10</v>
      </c>
      <c r="BH167" s="281" t="s">
        <v>10</v>
      </c>
      <c r="BI167" s="281" t="s">
        <v>10</v>
      </c>
      <c r="BL167" s="3"/>
      <c r="BM167" s="3"/>
      <c r="BN167" s="3"/>
      <c r="BO167" s="3"/>
      <c r="BP167" s="3"/>
      <c r="BQ167" s="3"/>
      <c r="BR167" s="3"/>
      <c r="BS167" s="3"/>
      <c r="BT167" s="3"/>
      <c r="BW167" s="3"/>
      <c r="BX167" s="3"/>
      <c r="BY167" s="3"/>
    </row>
    <row r="168" ht="15.75" customHeight="1">
      <c r="BD168" s="3">
        <v>1.35</v>
      </c>
      <c r="BE168" s="281">
        <v>100.0</v>
      </c>
      <c r="BF168" s="557">
        <f t="shared" ref="BF168:BF172" si="292">BF158*BD168</f>
        <v>159.3</v>
      </c>
      <c r="BG168" s="557">
        <f t="shared" ref="BG168:BG172" si="293">BG158*BD168</f>
        <v>178.2</v>
      </c>
      <c r="BH168" s="557">
        <f t="shared" ref="BH168:BH172" si="294">BH158*BD168</f>
        <v>168.75</v>
      </c>
      <c r="BI168" s="557">
        <f t="shared" ref="BI168:BI172" si="295">BI158*BD168</f>
        <v>114.75</v>
      </c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W168" s="3"/>
      <c r="BX168" s="3"/>
      <c r="BY168" s="3"/>
    </row>
    <row r="169" ht="15.75" customHeight="1">
      <c r="BD169" s="3">
        <v>1.32</v>
      </c>
      <c r="BE169" s="281">
        <v>200.0</v>
      </c>
      <c r="BF169" s="557">
        <f t="shared" si="292"/>
        <v>149.16</v>
      </c>
      <c r="BG169" s="557">
        <f t="shared" si="293"/>
        <v>165</v>
      </c>
      <c r="BH169" s="557">
        <f t="shared" si="294"/>
        <v>157.08</v>
      </c>
      <c r="BI169" s="557">
        <f t="shared" si="295"/>
        <v>109.56</v>
      </c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W169" s="3"/>
      <c r="BX169" s="3"/>
      <c r="BY169" s="3"/>
    </row>
    <row r="170" ht="15.75" customHeight="1">
      <c r="BD170" s="3">
        <v>1.29</v>
      </c>
      <c r="BE170" s="281">
        <v>300.0</v>
      </c>
      <c r="BF170" s="557">
        <f t="shared" si="292"/>
        <v>138.03</v>
      </c>
      <c r="BG170" s="557">
        <f t="shared" si="293"/>
        <v>152.22</v>
      </c>
      <c r="BH170" s="557">
        <f t="shared" si="294"/>
        <v>145.77</v>
      </c>
      <c r="BI170" s="557">
        <f t="shared" si="295"/>
        <v>104.49</v>
      </c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W170" s="3"/>
      <c r="BX170" s="3"/>
      <c r="BY170" s="3"/>
    </row>
    <row r="171" ht="15.75" customHeight="1">
      <c r="BD171" s="3">
        <v>1.26</v>
      </c>
      <c r="BE171" s="281">
        <v>500.0</v>
      </c>
      <c r="BF171" s="557">
        <f t="shared" si="292"/>
        <v>128.52</v>
      </c>
      <c r="BG171" s="557">
        <f t="shared" si="293"/>
        <v>141.12</v>
      </c>
      <c r="BH171" s="557">
        <f t="shared" si="294"/>
        <v>134.82</v>
      </c>
      <c r="BI171" s="557">
        <f t="shared" si="295"/>
        <v>99.54</v>
      </c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ht="15.75" customHeight="1">
      <c r="BA172" s="107" t="s">
        <v>579</v>
      </c>
      <c r="BD172" s="3">
        <v>1.23</v>
      </c>
      <c r="BE172" s="281">
        <v>1000.0</v>
      </c>
      <c r="BF172" s="557">
        <f t="shared" si="292"/>
        <v>119.31</v>
      </c>
      <c r="BG172" s="557">
        <f t="shared" si="293"/>
        <v>129.15</v>
      </c>
      <c r="BH172" s="557">
        <f t="shared" si="294"/>
        <v>124.23</v>
      </c>
      <c r="BI172" s="557">
        <f t="shared" si="295"/>
        <v>94.71</v>
      </c>
      <c r="BL172" s="3"/>
      <c r="BM172" s="3"/>
      <c r="BN172" s="3"/>
      <c r="BO172" s="3"/>
      <c r="BP172" s="3"/>
      <c r="BQ172" s="3"/>
      <c r="BR172" s="3"/>
      <c r="BS172" s="3"/>
      <c r="BT172" s="3"/>
    </row>
    <row r="173" ht="15.75" customHeight="1">
      <c r="BF173" s="3"/>
      <c r="BG173" s="1" t="s">
        <v>580</v>
      </c>
      <c r="BH173" s="2"/>
      <c r="BI173" s="2"/>
      <c r="BJ173" s="2"/>
      <c r="BL173" s="3"/>
      <c r="BM173" s="3"/>
      <c r="BN173" s="3"/>
      <c r="BO173" s="3"/>
      <c r="BP173" s="3"/>
      <c r="BQ173" s="3"/>
      <c r="BR173" s="3"/>
      <c r="BS173" s="3"/>
      <c r="BT173" s="3"/>
    </row>
    <row r="174" ht="15.75" customHeight="1">
      <c r="BA174" s="3"/>
      <c r="BB174" s="496" t="s">
        <v>46</v>
      </c>
      <c r="BC174" s="476"/>
      <c r="BF174" s="350" t="s">
        <v>295</v>
      </c>
      <c r="BG174" s="558" t="s">
        <v>5</v>
      </c>
      <c r="BH174" s="8"/>
      <c r="BI174" s="558" t="s">
        <v>7</v>
      </c>
      <c r="BJ174" s="8"/>
      <c r="BL174" s="3"/>
      <c r="BM174" s="3"/>
      <c r="BN174" s="3"/>
      <c r="BO174" s="3"/>
      <c r="BP174" s="3"/>
      <c r="BQ174" s="3"/>
      <c r="BR174" s="3"/>
      <c r="BS174" s="3"/>
      <c r="BT174" s="3"/>
    </row>
    <row r="175" ht="15.75" customHeight="1">
      <c r="BA175" s="281" t="s">
        <v>104</v>
      </c>
      <c r="BB175" s="281" t="s">
        <v>581</v>
      </c>
      <c r="BC175" s="494" t="s">
        <v>582</v>
      </c>
      <c r="BD175" s="416"/>
      <c r="BF175" s="355" t="s">
        <v>583</v>
      </c>
      <c r="BG175" s="356" t="s">
        <v>10</v>
      </c>
      <c r="BH175" s="357" t="s">
        <v>11</v>
      </c>
      <c r="BI175" s="356" t="s">
        <v>10</v>
      </c>
      <c r="BJ175" s="357" t="s">
        <v>11</v>
      </c>
      <c r="BL175" s="3"/>
      <c r="BM175" s="3"/>
      <c r="BN175" s="3"/>
      <c r="BO175" s="3"/>
      <c r="BP175" s="3"/>
      <c r="BQ175" s="3"/>
      <c r="BR175" s="3"/>
      <c r="BS175" s="3"/>
      <c r="BT175" s="3"/>
    </row>
    <row r="176" ht="15.75" customHeight="1">
      <c r="BA176" s="281">
        <v>100.0</v>
      </c>
      <c r="BB176" s="113">
        <v>520.0</v>
      </c>
      <c r="BC176" s="36">
        <v>565.0</v>
      </c>
      <c r="BF176" s="360">
        <v>1.0</v>
      </c>
      <c r="BG176" s="361">
        <v>10.014000000000001</v>
      </c>
      <c r="BH176" s="362">
        <v>13.914000000000001</v>
      </c>
      <c r="BI176" s="363">
        <v>8.513900000000001</v>
      </c>
      <c r="BJ176" s="364">
        <v>12.413900000000002</v>
      </c>
      <c r="BL176" s="3"/>
      <c r="BM176" s="3"/>
      <c r="BN176" s="3"/>
      <c r="BO176" s="3"/>
      <c r="BP176" s="3"/>
      <c r="BQ176" s="3"/>
      <c r="BR176" s="3"/>
      <c r="BS176" s="3"/>
      <c r="BT176" s="3"/>
    </row>
    <row r="177" ht="15.75" customHeight="1">
      <c r="BA177" s="281">
        <v>200.0</v>
      </c>
      <c r="BB177" s="113">
        <v>1019.9999999999999</v>
      </c>
      <c r="BC177" s="36">
        <v>1100.0</v>
      </c>
      <c r="BF177" s="368" t="s">
        <v>179</v>
      </c>
      <c r="BG177" s="363">
        <v>8.214</v>
      </c>
      <c r="BH177" s="364">
        <v>11.664</v>
      </c>
      <c r="BI177" s="369">
        <v>6.7139</v>
      </c>
      <c r="BJ177" s="364">
        <v>10.1639</v>
      </c>
      <c r="BL177" s="3"/>
      <c r="BM177" s="3"/>
      <c r="BN177" s="3"/>
      <c r="BO177" s="3"/>
      <c r="BP177" s="3"/>
      <c r="BQ177" s="3"/>
      <c r="BR177" s="3"/>
      <c r="BS177" s="3"/>
      <c r="BT177" s="3"/>
    </row>
    <row r="178" ht="15.75" customHeight="1">
      <c r="BA178" s="281">
        <v>300.0</v>
      </c>
      <c r="BB178" s="113">
        <v>1500.0</v>
      </c>
      <c r="BC178" s="36">
        <v>1605.0</v>
      </c>
      <c r="BF178" s="368" t="s">
        <v>180</v>
      </c>
      <c r="BG178" s="363">
        <v>7.314</v>
      </c>
      <c r="BH178" s="364">
        <v>10.614</v>
      </c>
      <c r="BI178" s="369">
        <v>5.813899999999999</v>
      </c>
      <c r="BJ178" s="364">
        <v>9.113900000000001</v>
      </c>
      <c r="BL178" s="3"/>
      <c r="BM178" s="3"/>
      <c r="BN178" s="3"/>
      <c r="BO178" s="3"/>
      <c r="BP178" s="3"/>
      <c r="BQ178" s="3"/>
      <c r="BR178" s="3"/>
    </row>
    <row r="179" ht="15.75" customHeight="1">
      <c r="BA179" s="281">
        <v>500.0</v>
      </c>
      <c r="BB179" s="113">
        <v>2250.0</v>
      </c>
      <c r="BC179" s="36">
        <v>2680.0</v>
      </c>
      <c r="BF179" s="368" t="s">
        <v>181</v>
      </c>
      <c r="BG179" s="363">
        <v>7.164</v>
      </c>
      <c r="BH179" s="364">
        <v>10.464</v>
      </c>
      <c r="BI179" s="369">
        <v>5.663899999999999</v>
      </c>
      <c r="BJ179" s="364">
        <v>8.9639</v>
      </c>
      <c r="BL179" s="3"/>
      <c r="BM179" s="3"/>
      <c r="BN179" s="3"/>
      <c r="BO179" s="3"/>
      <c r="BP179" s="3"/>
      <c r="BQ179" s="3"/>
      <c r="BR179" s="3"/>
    </row>
    <row r="180" ht="15.75" customHeight="1">
      <c r="BA180" s="281">
        <v>1000.0</v>
      </c>
      <c r="BB180" s="113">
        <v>4100.0</v>
      </c>
      <c r="BC180" s="36">
        <v>4900.0</v>
      </c>
      <c r="BF180" s="368" t="s">
        <v>182</v>
      </c>
      <c r="BG180" s="363">
        <v>7.014000000000001</v>
      </c>
      <c r="BH180" s="364">
        <v>10.164000000000001</v>
      </c>
      <c r="BI180" s="369">
        <v>5.5139000000000005</v>
      </c>
      <c r="BJ180" s="364">
        <v>8.663900000000002</v>
      </c>
    </row>
    <row r="181" ht="15.75" customHeight="1">
      <c r="BA181" s="3" t="s">
        <v>584</v>
      </c>
      <c r="BF181" s="368" t="s">
        <v>18</v>
      </c>
      <c r="BG181" s="363">
        <v>6.864000000000001</v>
      </c>
      <c r="BH181" s="364">
        <v>10.014000000000001</v>
      </c>
      <c r="BI181" s="369">
        <v>5.3639</v>
      </c>
      <c r="BJ181" s="364">
        <v>8.513900000000001</v>
      </c>
    </row>
    <row r="182" ht="15.75" customHeight="1">
      <c r="BA182" s="3" t="s">
        <v>574</v>
      </c>
      <c r="BF182" s="355" t="s">
        <v>19</v>
      </c>
      <c r="BG182" s="372">
        <v>6.714</v>
      </c>
      <c r="BH182" s="373">
        <v>9.714</v>
      </c>
      <c r="BI182" s="374">
        <v>5.2139</v>
      </c>
      <c r="BJ182" s="373">
        <v>8.2139</v>
      </c>
    </row>
    <row r="183" ht="15.75" customHeight="1">
      <c r="BA183" s="3" t="s">
        <v>576</v>
      </c>
    </row>
    <row r="184" ht="15.75" customHeight="1">
      <c r="BA184" s="3" t="s">
        <v>585</v>
      </c>
      <c r="BG184" s="108" t="s">
        <v>586</v>
      </c>
    </row>
    <row r="185" ht="15.75" customHeight="1">
      <c r="BA185" s="3" t="s">
        <v>578</v>
      </c>
    </row>
    <row r="186" ht="15.75" customHeight="1">
      <c r="BA186" s="3" t="s">
        <v>587</v>
      </c>
    </row>
    <row r="187" ht="15.75" customHeight="1">
      <c r="BJ187" s="107" t="s">
        <v>588</v>
      </c>
    </row>
    <row r="188" ht="15.75" customHeight="1">
      <c r="BA188" s="107" t="s">
        <v>589</v>
      </c>
    </row>
    <row r="189" ht="15.75" customHeight="1">
      <c r="BA189" s="3" t="s">
        <v>590</v>
      </c>
      <c r="BJ189" s="3" t="s">
        <v>591</v>
      </c>
    </row>
    <row r="190" ht="15.75" customHeight="1">
      <c r="BA190" s="3" t="s">
        <v>592</v>
      </c>
      <c r="BJ190" s="3" t="s">
        <v>593</v>
      </c>
    </row>
    <row r="191" ht="15.75" customHeight="1">
      <c r="BA191" s="281" t="s">
        <v>104</v>
      </c>
      <c r="BB191" s="281" t="s">
        <v>594</v>
      </c>
      <c r="BC191" s="494" t="s">
        <v>595</v>
      </c>
      <c r="BD191" s="282" t="s">
        <v>596</v>
      </c>
      <c r="BJ191" s="3" t="s">
        <v>473</v>
      </c>
    </row>
    <row r="192" ht="15.75" customHeight="1">
      <c r="BA192" s="281" t="s">
        <v>416</v>
      </c>
      <c r="BB192" s="506">
        <v>3.5</v>
      </c>
      <c r="BC192" s="506">
        <v>5.0</v>
      </c>
      <c r="BD192" s="559">
        <v>6.0</v>
      </c>
      <c r="BE192" s="560"/>
      <c r="BJ192" s="3" t="s">
        <v>597</v>
      </c>
    </row>
    <row r="193" ht="15.75" customHeight="1">
      <c r="BA193" s="281" t="s">
        <v>598</v>
      </c>
      <c r="BB193" s="506">
        <v>3.4</v>
      </c>
      <c r="BC193" s="506">
        <v>4.8</v>
      </c>
      <c r="BD193" s="559">
        <v>5.8</v>
      </c>
      <c r="BE193" s="560"/>
      <c r="BJ193" s="3" t="s">
        <v>599</v>
      </c>
    </row>
    <row r="194" ht="15.75" customHeight="1">
      <c r="BA194" s="281" t="s">
        <v>600</v>
      </c>
      <c r="BB194" s="506">
        <v>3.3</v>
      </c>
      <c r="BC194" s="506">
        <v>4.7</v>
      </c>
      <c r="BD194" s="559">
        <v>5.7</v>
      </c>
      <c r="BE194" s="560"/>
      <c r="BH194" s="3"/>
      <c r="BJ194" s="3" t="s">
        <v>601</v>
      </c>
    </row>
    <row r="195" ht="15.75" customHeight="1">
      <c r="BA195" s="281" t="s">
        <v>18</v>
      </c>
      <c r="BB195" s="506">
        <v>3.1</v>
      </c>
      <c r="BC195" s="506">
        <v>4.6</v>
      </c>
      <c r="BD195" s="559">
        <v>5.6</v>
      </c>
      <c r="BE195" s="560"/>
      <c r="BF195" s="3"/>
      <c r="BG195" s="3"/>
      <c r="BH195" s="3"/>
      <c r="BJ195" s="561" t="s">
        <v>257</v>
      </c>
      <c r="BK195" s="561" t="s">
        <v>602</v>
      </c>
      <c r="BL195" s="561" t="s">
        <v>603</v>
      </c>
    </row>
    <row r="196" ht="15.75" customHeight="1">
      <c r="BA196" s="281" t="s">
        <v>19</v>
      </c>
      <c r="BB196" s="506">
        <v>3.0</v>
      </c>
      <c r="BC196" s="506">
        <v>4.5</v>
      </c>
      <c r="BD196" s="559">
        <v>5.5</v>
      </c>
      <c r="BE196" s="560"/>
      <c r="BF196" s="3"/>
      <c r="BG196" s="3"/>
      <c r="BH196" s="3"/>
      <c r="BJ196" s="45">
        <v>1.0</v>
      </c>
      <c r="BK196" s="562">
        <v>55.0</v>
      </c>
      <c r="BL196" s="562">
        <v>65.0</v>
      </c>
      <c r="BN196" s="113"/>
      <c r="BO196" s="113"/>
    </row>
    <row r="197" ht="15.75" customHeight="1">
      <c r="BA197" s="494" t="s">
        <v>604</v>
      </c>
      <c r="BB197" s="36" t="s">
        <v>605</v>
      </c>
      <c r="BC197" s="36" t="s">
        <v>606</v>
      </c>
      <c r="BD197" s="36" t="s">
        <v>607</v>
      </c>
      <c r="BF197" s="3"/>
      <c r="BG197" s="3"/>
      <c r="BH197" s="3"/>
      <c r="BJ197" s="45" t="s">
        <v>434</v>
      </c>
      <c r="BK197" s="562">
        <v>40.0</v>
      </c>
      <c r="BL197" s="562">
        <v>50.0</v>
      </c>
      <c r="BN197" s="113"/>
      <c r="BO197" s="113"/>
    </row>
    <row r="198" ht="15.75" customHeight="1">
      <c r="BF198" s="3"/>
      <c r="BG198" s="3"/>
      <c r="BH198" s="3"/>
      <c r="BJ198" s="45" t="s">
        <v>608</v>
      </c>
      <c r="BK198" s="562">
        <v>37.0</v>
      </c>
      <c r="BL198" s="562">
        <v>47.0</v>
      </c>
      <c r="BN198" s="113"/>
      <c r="BO198" s="113"/>
    </row>
    <row r="199" ht="15.75" customHeight="1">
      <c r="BJ199" s="45" t="s">
        <v>180</v>
      </c>
      <c r="BK199" s="562">
        <v>33.0</v>
      </c>
      <c r="BL199" s="562">
        <v>43.0</v>
      </c>
      <c r="BN199" s="113"/>
      <c r="BO199" s="113"/>
    </row>
    <row r="200" ht="15.75" customHeight="1">
      <c r="BJ200" s="45" t="s">
        <v>181</v>
      </c>
      <c r="BK200" s="562">
        <v>30.0</v>
      </c>
      <c r="BL200" s="562">
        <v>41.0</v>
      </c>
      <c r="BN200" s="113"/>
      <c r="BO200" s="113"/>
    </row>
    <row r="201" ht="15.75" customHeight="1">
      <c r="BJ201" s="45" t="s">
        <v>42</v>
      </c>
      <c r="BK201" s="562">
        <v>29.0</v>
      </c>
      <c r="BL201" s="562">
        <v>40.0</v>
      </c>
    </row>
    <row r="202" ht="15.75" customHeight="1"/>
    <row r="203" ht="15.75" customHeight="1"/>
    <row r="204" ht="15.75" customHeight="1"/>
    <row r="205" ht="15.75" customHeight="1">
      <c r="BA205" s="108" t="s">
        <v>609</v>
      </c>
      <c r="BH205" s="108" t="s">
        <v>609</v>
      </c>
      <c r="BI205" s="3"/>
      <c r="BL205" s="108"/>
      <c r="BM205" s="3"/>
    </row>
    <row r="206" ht="15.75" customHeight="1">
      <c r="BA206" s="3" t="s">
        <v>591</v>
      </c>
      <c r="BH206" s="3" t="s">
        <v>591</v>
      </c>
      <c r="BI206" s="3"/>
      <c r="BL206" s="3"/>
      <c r="BM206" s="3"/>
    </row>
    <row r="207" ht="15.75" customHeight="1">
      <c r="BA207" s="3" t="s">
        <v>610</v>
      </c>
      <c r="BH207" s="3" t="s">
        <v>611</v>
      </c>
      <c r="BI207" s="3"/>
      <c r="BL207" s="3"/>
      <c r="BM207" s="3"/>
    </row>
    <row r="208" ht="15.75" customHeight="1">
      <c r="BA208" s="3" t="s">
        <v>513</v>
      </c>
      <c r="BH208" s="3" t="s">
        <v>612</v>
      </c>
      <c r="BI208" s="3"/>
      <c r="BL208" s="3"/>
      <c r="BM208" s="3"/>
    </row>
    <row r="209" ht="15.75" customHeight="1">
      <c r="BA209" s="3" t="s">
        <v>613</v>
      </c>
      <c r="BH209" s="3" t="s">
        <v>486</v>
      </c>
      <c r="BI209" s="3"/>
      <c r="BL209" s="3"/>
      <c r="BM209" s="3"/>
    </row>
    <row r="210" ht="15.75" customHeight="1">
      <c r="BA210" s="3" t="s">
        <v>614</v>
      </c>
      <c r="BH210" s="3" t="s">
        <v>614</v>
      </c>
      <c r="BI210" s="3"/>
      <c r="BL210" s="3"/>
      <c r="BM210" s="3"/>
    </row>
    <row r="211" ht="15.75" customHeight="1">
      <c r="BA211" s="3" t="s">
        <v>615</v>
      </c>
      <c r="BH211" s="3" t="s">
        <v>615</v>
      </c>
      <c r="BI211" s="3"/>
      <c r="BL211" s="3"/>
      <c r="BM211" s="3"/>
    </row>
    <row r="212" ht="15.75" customHeight="1">
      <c r="BA212" s="3" t="s">
        <v>601</v>
      </c>
      <c r="BH212" s="3" t="s">
        <v>601</v>
      </c>
      <c r="BI212" s="3"/>
      <c r="BL212" s="3"/>
      <c r="BM212" s="3"/>
    </row>
    <row r="213" ht="15.75" customHeight="1">
      <c r="BA213" s="561" t="s">
        <v>257</v>
      </c>
      <c r="BB213" s="357" t="s">
        <v>616</v>
      </c>
      <c r="BH213" s="561" t="s">
        <v>257</v>
      </c>
      <c r="BI213" s="357" t="s">
        <v>617</v>
      </c>
      <c r="BL213" s="561"/>
      <c r="BM213" s="357"/>
    </row>
    <row r="214" ht="15.75" customHeight="1">
      <c r="BA214" s="563">
        <v>1.0</v>
      </c>
      <c r="BB214" s="113">
        <v>52.0</v>
      </c>
      <c r="BC214" s="564"/>
      <c r="BH214" s="563">
        <v>1.0</v>
      </c>
      <c r="BI214" s="113">
        <v>70.0</v>
      </c>
      <c r="BL214" s="563"/>
      <c r="BM214" s="113"/>
    </row>
    <row r="215" ht="15.75" customHeight="1">
      <c r="BA215" s="552" t="s">
        <v>618</v>
      </c>
      <c r="BB215" s="113">
        <v>47.0</v>
      </c>
      <c r="BC215" s="564"/>
      <c r="BH215" s="552" t="s">
        <v>618</v>
      </c>
      <c r="BI215" s="113">
        <v>65.0</v>
      </c>
      <c r="BL215" s="552"/>
      <c r="BM215" s="113"/>
    </row>
    <row r="216" ht="15.75" customHeight="1">
      <c r="BA216" s="552" t="s">
        <v>619</v>
      </c>
      <c r="BB216" s="113">
        <v>44.0</v>
      </c>
      <c r="BC216" s="564"/>
      <c r="BH216" s="552" t="s">
        <v>619</v>
      </c>
      <c r="BI216" s="113">
        <v>60.0</v>
      </c>
      <c r="BL216" s="552"/>
      <c r="BM216" s="113"/>
    </row>
    <row r="217" ht="15.75" customHeight="1">
      <c r="BA217" s="552" t="s">
        <v>620</v>
      </c>
      <c r="BB217" s="113">
        <v>42.0</v>
      </c>
      <c r="BC217" s="564"/>
      <c r="BH217" s="552" t="s">
        <v>620</v>
      </c>
      <c r="BI217" s="113">
        <v>56.0</v>
      </c>
      <c r="BL217" s="552"/>
      <c r="BM217" s="113"/>
    </row>
    <row r="218" ht="15.75" customHeight="1">
      <c r="BA218" s="552" t="s">
        <v>77</v>
      </c>
      <c r="BB218" s="113">
        <v>40.0</v>
      </c>
      <c r="BC218" s="564"/>
      <c r="BH218" s="552" t="s">
        <v>77</v>
      </c>
      <c r="BI218" s="113">
        <v>53.0</v>
      </c>
      <c r="BL218" s="552"/>
      <c r="BM218" s="113"/>
    </row>
    <row r="219" ht="15.75" customHeight="1">
      <c r="BA219" s="552" t="s">
        <v>78</v>
      </c>
      <c r="BB219" s="113">
        <v>38.0</v>
      </c>
      <c r="BC219" s="564"/>
      <c r="BH219" s="552" t="s">
        <v>78</v>
      </c>
      <c r="BI219" s="113">
        <v>51.0</v>
      </c>
      <c r="BL219" s="552"/>
      <c r="BM219" s="113"/>
    </row>
    <row r="220" ht="15.75" customHeight="1">
      <c r="BA220" s="552" t="s">
        <v>79</v>
      </c>
      <c r="BB220" s="113">
        <v>22.0</v>
      </c>
      <c r="BH220" s="552" t="s">
        <v>79</v>
      </c>
      <c r="BI220" s="113">
        <v>45.0</v>
      </c>
      <c r="BL220" s="552"/>
      <c r="BM220" s="113"/>
    </row>
    <row r="221" ht="15.75" customHeight="1"/>
    <row r="222" ht="15.75" customHeight="1">
      <c r="BA222" s="108" t="s">
        <v>621</v>
      </c>
      <c r="BB222" s="108"/>
      <c r="BC222" s="108"/>
      <c r="BD222" s="108"/>
      <c r="BE222" s="108"/>
      <c r="BF222" s="108"/>
      <c r="BG222" s="108"/>
    </row>
    <row r="223" ht="15.75" customHeight="1">
      <c r="BA223" s="40" t="s">
        <v>622</v>
      </c>
    </row>
    <row r="224" ht="15.75" customHeight="1">
      <c r="BA224" s="40" t="s">
        <v>623</v>
      </c>
      <c r="BC224" s="3" t="s">
        <v>473</v>
      </c>
      <c r="BD224" s="3" t="s">
        <v>624</v>
      </c>
      <c r="BE224" s="3" t="s">
        <v>625</v>
      </c>
      <c r="BF224" s="3" t="s">
        <v>626</v>
      </c>
      <c r="BG224" s="3" t="s">
        <v>627</v>
      </c>
    </row>
    <row r="225" ht="15.75" customHeight="1">
      <c r="BA225" s="3" t="s">
        <v>628</v>
      </c>
      <c r="BB225" s="494">
        <v>100.0</v>
      </c>
    </row>
    <row r="226" ht="15.75" customHeight="1">
      <c r="BB226" s="494">
        <v>200.0</v>
      </c>
    </row>
    <row r="227" ht="15.75" customHeight="1">
      <c r="BB227" s="494">
        <v>300.0</v>
      </c>
    </row>
    <row r="228" ht="15.75" customHeight="1">
      <c r="BB228" s="494">
        <v>500.0</v>
      </c>
    </row>
    <row r="229" ht="15.75" customHeight="1">
      <c r="BB229" s="494">
        <v>1000.0</v>
      </c>
    </row>
    <row r="230" ht="15.75" customHeight="1">
      <c r="BB230" s="3"/>
    </row>
    <row r="231" ht="15.75" customHeight="1">
      <c r="BB231" s="3"/>
    </row>
    <row r="232" ht="15.75" customHeight="1"/>
    <row r="233" ht="15.75" customHeight="1"/>
    <row r="234" ht="15.75" customHeight="1"/>
    <row r="235" ht="15.75" customHeight="1"/>
    <row r="236" ht="15.75" customHeight="1">
      <c r="BC236" s="3" t="s">
        <v>629</v>
      </c>
      <c r="BE236" s="3" t="s">
        <v>473</v>
      </c>
      <c r="BF236" s="3" t="s">
        <v>624</v>
      </c>
      <c r="BG236" s="3" t="s">
        <v>625</v>
      </c>
      <c r="BH236" s="3" t="s">
        <v>626</v>
      </c>
      <c r="BI236" s="3" t="s">
        <v>627</v>
      </c>
      <c r="BJ236" s="3" t="s">
        <v>98</v>
      </c>
    </row>
    <row r="237" ht="15.75" customHeight="1">
      <c r="BB237" s="494">
        <v>100.0</v>
      </c>
      <c r="BC237" s="3">
        <v>10.0</v>
      </c>
      <c r="BF237" s="3">
        <v>1.2</v>
      </c>
    </row>
    <row r="238" ht="15.75" customHeight="1">
      <c r="BB238" s="494">
        <v>200.0</v>
      </c>
      <c r="BC238" s="3">
        <v>20.0</v>
      </c>
      <c r="BF238" s="3">
        <v>1.2</v>
      </c>
    </row>
    <row r="239" ht="15.75" customHeight="1">
      <c r="BB239" s="494">
        <v>300.0</v>
      </c>
      <c r="BC239" s="3">
        <v>30.0</v>
      </c>
      <c r="BF239" s="3">
        <v>1.2</v>
      </c>
    </row>
    <row r="240" ht="15.75" customHeight="1">
      <c r="BB240" s="494">
        <v>500.0</v>
      </c>
      <c r="BC240" s="3">
        <v>50.0</v>
      </c>
      <c r="BF240" s="3">
        <v>1.15</v>
      </c>
    </row>
    <row r="241" ht="15.75" customHeight="1">
      <c r="BB241" s="494">
        <v>1000.0</v>
      </c>
      <c r="BC241" s="3">
        <v>100.0</v>
      </c>
      <c r="BF241" s="3">
        <v>1.1</v>
      </c>
    </row>
    <row r="242" ht="15.75" customHeight="1"/>
    <row r="243" ht="15.75" customHeight="1"/>
    <row r="244" ht="15.75" customHeight="1"/>
    <row r="245" ht="15.75" customHeight="1">
      <c r="BA245" s="494" t="s">
        <v>517</v>
      </c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ht="15.75" customHeight="1">
      <c r="BA246" s="3" t="s">
        <v>523</v>
      </c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ht="15.75" customHeight="1"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ht="15.75" customHeight="1">
      <c r="BA248" s="565" t="s">
        <v>630</v>
      </c>
      <c r="BB248" s="491"/>
      <c r="BC248" s="491"/>
      <c r="BD248" s="491"/>
      <c r="BE248" s="491"/>
      <c r="BF248" s="491"/>
      <c r="BG248" s="491"/>
      <c r="BH248" s="491"/>
      <c r="BI248" s="491"/>
      <c r="BJ248" s="491"/>
      <c r="BK248" s="491"/>
      <c r="BL248" s="491"/>
      <c r="BM248" s="492"/>
    </row>
    <row r="249" ht="15.75" customHeight="1">
      <c r="BA249" s="494" t="s">
        <v>521</v>
      </c>
      <c r="BB249" s="496" t="s">
        <v>473</v>
      </c>
      <c r="BC249" s="476"/>
      <c r="BD249" s="496" t="s">
        <v>71</v>
      </c>
      <c r="BE249" s="476"/>
      <c r="BF249" s="496" t="s">
        <v>494</v>
      </c>
      <c r="BG249" s="476"/>
      <c r="BH249" s="496" t="s">
        <v>495</v>
      </c>
      <c r="BI249" s="476"/>
      <c r="BJ249" s="496" t="s">
        <v>497</v>
      </c>
      <c r="BK249" s="476"/>
      <c r="BL249" s="501" t="s">
        <v>498</v>
      </c>
      <c r="BM249" s="476"/>
    </row>
    <row r="250" ht="15.75" customHeight="1">
      <c r="BA250" s="494" t="s">
        <v>104</v>
      </c>
      <c r="BB250" s="494" t="s">
        <v>10</v>
      </c>
      <c r="BC250" s="502" t="s">
        <v>11</v>
      </c>
      <c r="BD250" s="502" t="s">
        <v>10</v>
      </c>
      <c r="BE250" s="502" t="s">
        <v>11</v>
      </c>
      <c r="BF250" s="494" t="s">
        <v>10</v>
      </c>
      <c r="BG250" s="502" t="s">
        <v>11</v>
      </c>
      <c r="BH250" s="502" t="s">
        <v>10</v>
      </c>
      <c r="BI250" s="502" t="s">
        <v>11</v>
      </c>
      <c r="BJ250" s="502" t="s">
        <v>10</v>
      </c>
      <c r="BK250" s="502" t="s">
        <v>11</v>
      </c>
      <c r="BL250" s="502" t="s">
        <v>10</v>
      </c>
      <c r="BM250" s="502" t="s">
        <v>11</v>
      </c>
    </row>
    <row r="251" ht="15.75" customHeight="1">
      <c r="BA251" s="282">
        <v>1.0</v>
      </c>
      <c r="BB251" s="511">
        <f t="shared" ref="BB251:BB258" si="297">BB266+BD266+BJ266</f>
        <v>63.35</v>
      </c>
      <c r="BC251" s="511">
        <f t="shared" ref="BC251:BC258" si="298">BC266+BJ266+BD266</f>
        <v>67.25</v>
      </c>
      <c r="BD251" s="511">
        <f t="shared" ref="BD251:BD258" si="299">BB251+(BE266/2)</f>
        <v>64.85</v>
      </c>
      <c r="BE251" s="511">
        <f t="shared" ref="BE251:BE258" si="300">BC251+BE266</f>
        <v>70.25</v>
      </c>
      <c r="BF251" s="511">
        <f t="shared" ref="BF251:BF258" si="301">BB251+(BF266/2)</f>
        <v>65.95</v>
      </c>
      <c r="BG251" s="511">
        <f t="shared" ref="BG251:BG258" si="302">BC251+BF266</f>
        <v>72.45</v>
      </c>
      <c r="BH251" s="511">
        <f t="shared" ref="BH251:BH258" si="303">BB251+(BG266/2)</f>
        <v>66.15</v>
      </c>
      <c r="BI251" s="511">
        <f t="shared" ref="BI251:BI258" si="304">BC251+BG266</f>
        <v>72.85</v>
      </c>
      <c r="BJ251" s="511">
        <f t="shared" ref="BJ251:BJ258" si="305">BB251+(BH266/2)</f>
        <v>67.85</v>
      </c>
      <c r="BK251" s="511">
        <f t="shared" ref="BK251:BK258" si="306">BC251+BH266</f>
        <v>76.25</v>
      </c>
      <c r="BL251" s="511">
        <f t="shared" ref="BL251:BM251" si="296">BH251*1.2</f>
        <v>79.38</v>
      </c>
      <c r="BM251" s="511">
        <f t="shared" si="296"/>
        <v>87.42</v>
      </c>
    </row>
    <row r="252" ht="15.75" customHeight="1">
      <c r="BA252" s="282">
        <v>5.0</v>
      </c>
      <c r="BB252" s="511">
        <f t="shared" si="297"/>
        <v>82.5</v>
      </c>
      <c r="BC252" s="511">
        <f t="shared" si="298"/>
        <v>92.9964</v>
      </c>
      <c r="BD252" s="511">
        <f t="shared" si="299"/>
        <v>87</v>
      </c>
      <c r="BE252" s="511">
        <f t="shared" si="300"/>
        <v>101.9964</v>
      </c>
      <c r="BF252" s="511">
        <f t="shared" si="301"/>
        <v>90.3</v>
      </c>
      <c r="BG252" s="511">
        <f t="shared" si="302"/>
        <v>108.5964</v>
      </c>
      <c r="BH252" s="511">
        <f t="shared" si="303"/>
        <v>90.9</v>
      </c>
      <c r="BI252" s="511">
        <f t="shared" si="304"/>
        <v>109.7964</v>
      </c>
      <c r="BJ252" s="511">
        <f t="shared" si="305"/>
        <v>96</v>
      </c>
      <c r="BK252" s="511">
        <f t="shared" si="306"/>
        <v>119.9964</v>
      </c>
      <c r="BL252" s="511">
        <f t="shared" ref="BL252:BM252" si="307">BH252*1.2</f>
        <v>109.08</v>
      </c>
      <c r="BM252" s="511">
        <f t="shared" si="307"/>
        <v>131.75568</v>
      </c>
    </row>
    <row r="253" ht="15.75" customHeight="1">
      <c r="BA253" s="282">
        <v>10.0</v>
      </c>
      <c r="BB253" s="511">
        <f t="shared" si="297"/>
        <v>102.744</v>
      </c>
      <c r="BC253" s="511">
        <f t="shared" si="298"/>
        <v>114.744</v>
      </c>
      <c r="BD253" s="511">
        <f t="shared" si="299"/>
        <v>110.244</v>
      </c>
      <c r="BE253" s="511">
        <f t="shared" si="300"/>
        <v>129.744</v>
      </c>
      <c r="BF253" s="511">
        <f t="shared" si="301"/>
        <v>115.744</v>
      </c>
      <c r="BG253" s="511">
        <f t="shared" si="302"/>
        <v>140.744</v>
      </c>
      <c r="BH253" s="511">
        <f t="shared" si="303"/>
        <v>116.744</v>
      </c>
      <c r="BI253" s="511">
        <f t="shared" si="304"/>
        <v>142.744</v>
      </c>
      <c r="BJ253" s="511">
        <f t="shared" si="305"/>
        <v>125.244</v>
      </c>
      <c r="BK253" s="511">
        <f t="shared" si="306"/>
        <v>159.744</v>
      </c>
      <c r="BL253" s="511">
        <f t="shared" ref="BL253:BM253" si="308">BH253*1.2</f>
        <v>140.0928</v>
      </c>
      <c r="BM253" s="511">
        <f t="shared" si="308"/>
        <v>171.2928</v>
      </c>
    </row>
    <row r="254" ht="15.75" customHeight="1">
      <c r="BA254" s="282">
        <v>25.0</v>
      </c>
      <c r="BB254" s="511">
        <f t="shared" si="297"/>
        <v>198.1344</v>
      </c>
      <c r="BC254" s="511">
        <f t="shared" si="298"/>
        <v>229.3344</v>
      </c>
      <c r="BD254" s="511">
        <f t="shared" si="299"/>
        <v>214.3844</v>
      </c>
      <c r="BE254" s="511">
        <f t="shared" si="300"/>
        <v>261.8344</v>
      </c>
      <c r="BF254" s="511">
        <f t="shared" si="301"/>
        <v>231.9344</v>
      </c>
      <c r="BG254" s="511">
        <f t="shared" si="302"/>
        <v>296.9344</v>
      </c>
      <c r="BH254" s="511">
        <f t="shared" si="303"/>
        <v>234.5344</v>
      </c>
      <c r="BI254" s="511">
        <f t="shared" si="304"/>
        <v>302.1344</v>
      </c>
      <c r="BJ254" s="511">
        <f t="shared" si="305"/>
        <v>256.6344</v>
      </c>
      <c r="BK254" s="511">
        <f t="shared" si="306"/>
        <v>346.3344</v>
      </c>
      <c r="BL254" s="511">
        <f t="shared" ref="BL254:BM254" si="309">BH254*1.2</f>
        <v>281.44128</v>
      </c>
      <c r="BM254" s="511">
        <f t="shared" si="309"/>
        <v>362.56128</v>
      </c>
    </row>
    <row r="255" ht="15.75" customHeight="1">
      <c r="BA255" s="282">
        <v>50.0</v>
      </c>
      <c r="BB255" s="511">
        <f t="shared" si="297"/>
        <v>308.72</v>
      </c>
      <c r="BC255" s="511">
        <f t="shared" si="298"/>
        <v>368.72</v>
      </c>
      <c r="BD255" s="511">
        <f t="shared" si="299"/>
        <v>339.97</v>
      </c>
      <c r="BE255" s="511">
        <f t="shared" si="300"/>
        <v>431.22</v>
      </c>
      <c r="BF255" s="511">
        <f t="shared" si="301"/>
        <v>371.22</v>
      </c>
      <c r="BG255" s="511">
        <f t="shared" si="302"/>
        <v>493.72</v>
      </c>
      <c r="BH255" s="511">
        <f t="shared" si="303"/>
        <v>372.47</v>
      </c>
      <c r="BI255" s="511">
        <f t="shared" si="304"/>
        <v>496.22</v>
      </c>
      <c r="BJ255" s="511">
        <f t="shared" si="305"/>
        <v>406.22</v>
      </c>
      <c r="BK255" s="511">
        <f t="shared" si="306"/>
        <v>563.72</v>
      </c>
      <c r="BL255" s="511">
        <f t="shared" ref="BL255:BM255" si="310">BH255*1.2</f>
        <v>446.964</v>
      </c>
      <c r="BM255" s="511">
        <f t="shared" si="310"/>
        <v>595.464</v>
      </c>
    </row>
    <row r="256" ht="15.75" customHeight="1">
      <c r="BA256" s="282">
        <v>100.0</v>
      </c>
      <c r="BB256" s="511">
        <f t="shared" si="297"/>
        <v>532.44</v>
      </c>
      <c r="BC256" s="511">
        <f t="shared" si="298"/>
        <v>697.44</v>
      </c>
      <c r="BD256" s="511">
        <f t="shared" si="299"/>
        <v>594.94</v>
      </c>
      <c r="BE256" s="511">
        <f t="shared" si="300"/>
        <v>822.44</v>
      </c>
      <c r="BF256" s="511">
        <f t="shared" si="301"/>
        <v>657.44</v>
      </c>
      <c r="BG256" s="511">
        <f t="shared" si="302"/>
        <v>947.44</v>
      </c>
      <c r="BH256" s="511">
        <f t="shared" si="303"/>
        <v>659.94</v>
      </c>
      <c r="BI256" s="511">
        <f t="shared" si="304"/>
        <v>952.44</v>
      </c>
      <c r="BJ256" s="511">
        <f t="shared" si="305"/>
        <v>727.44</v>
      </c>
      <c r="BK256" s="511">
        <f t="shared" si="306"/>
        <v>1087.44</v>
      </c>
      <c r="BL256" s="511">
        <f t="shared" ref="BL256:BM256" si="311">BH256*1.2</f>
        <v>791.928</v>
      </c>
      <c r="BM256" s="511">
        <f t="shared" si="311"/>
        <v>1142.928</v>
      </c>
    </row>
    <row r="257" ht="15.75" customHeight="1">
      <c r="BA257" s="282">
        <v>250.0</v>
      </c>
      <c r="BB257" s="511">
        <f t="shared" si="297"/>
        <v>1093.6</v>
      </c>
      <c r="BC257" s="511">
        <f t="shared" si="298"/>
        <v>1487.35</v>
      </c>
      <c r="BD257" s="511">
        <f t="shared" si="299"/>
        <v>1237.35</v>
      </c>
      <c r="BE257" s="511">
        <f t="shared" si="300"/>
        <v>1774.85</v>
      </c>
      <c r="BF257" s="511">
        <f t="shared" si="301"/>
        <v>1368.6</v>
      </c>
      <c r="BG257" s="511">
        <f t="shared" si="302"/>
        <v>2037.35</v>
      </c>
      <c r="BH257" s="511">
        <f t="shared" si="303"/>
        <v>1374.85</v>
      </c>
      <c r="BI257" s="511">
        <f t="shared" si="304"/>
        <v>2049.85</v>
      </c>
      <c r="BJ257" s="511">
        <f t="shared" si="305"/>
        <v>1487.35</v>
      </c>
      <c r="BK257" s="511">
        <f t="shared" si="306"/>
        <v>2274.85</v>
      </c>
      <c r="BL257" s="511">
        <f t="shared" ref="BL257:BM257" si="312">BH257*1.2</f>
        <v>1649.82</v>
      </c>
      <c r="BM257" s="511">
        <f t="shared" si="312"/>
        <v>2459.82</v>
      </c>
    </row>
    <row r="258" ht="15.75" customHeight="1">
      <c r="BA258" s="282">
        <v>500.0</v>
      </c>
      <c r="BB258" s="511">
        <f t="shared" si="297"/>
        <v>1887.2</v>
      </c>
      <c r="BC258" s="511">
        <f t="shared" si="298"/>
        <v>2674.7</v>
      </c>
      <c r="BD258" s="511">
        <f t="shared" si="299"/>
        <v>2174.7</v>
      </c>
      <c r="BE258" s="511">
        <f t="shared" si="300"/>
        <v>3249.7</v>
      </c>
      <c r="BF258" s="511">
        <f t="shared" si="301"/>
        <v>2437.2</v>
      </c>
      <c r="BG258" s="511">
        <f t="shared" si="302"/>
        <v>3774.7</v>
      </c>
      <c r="BH258" s="511">
        <f t="shared" si="303"/>
        <v>2449.7</v>
      </c>
      <c r="BI258" s="511">
        <f t="shared" si="304"/>
        <v>3799.7</v>
      </c>
      <c r="BJ258" s="511">
        <f t="shared" si="305"/>
        <v>2674.7</v>
      </c>
      <c r="BK258" s="511">
        <f t="shared" si="306"/>
        <v>4249.7</v>
      </c>
      <c r="BL258" s="511">
        <f t="shared" ref="BL258:BM258" si="313">BH258*1.2</f>
        <v>2939.64</v>
      </c>
      <c r="BM258" s="511">
        <f t="shared" si="313"/>
        <v>4559.64</v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>
      <c r="BB265" s="3" t="s">
        <v>10</v>
      </c>
      <c r="BC265" s="416">
        <v>42829.0</v>
      </c>
      <c r="BD265" s="3" t="s">
        <v>98</v>
      </c>
      <c r="BE265" s="3" t="s">
        <v>631</v>
      </c>
      <c r="BF265" s="3" t="s">
        <v>632</v>
      </c>
      <c r="BG265" s="3" t="s">
        <v>633</v>
      </c>
      <c r="BH265" s="3" t="s">
        <v>634</v>
      </c>
      <c r="BJ265" s="3" t="s">
        <v>635</v>
      </c>
      <c r="BN265" s="3" t="s">
        <v>417</v>
      </c>
      <c r="BO265" s="3">
        <v>140.0</v>
      </c>
    </row>
    <row r="266" ht="15.75" customHeight="1">
      <c r="AZ266" s="3">
        <v>1.0</v>
      </c>
      <c r="BA266" s="282">
        <v>1.0</v>
      </c>
      <c r="BB266" s="431">
        <v>9.35</v>
      </c>
      <c r="BC266" s="431">
        <v>13.25</v>
      </c>
      <c r="BD266" s="378">
        <v>50.0</v>
      </c>
      <c r="BE266" s="3">
        <f t="shared" ref="BE266:BE268" si="314">$BL$276*2*AZ266</f>
        <v>3</v>
      </c>
      <c r="BF266" s="3">
        <f t="shared" ref="BF266:BF269" si="315">$BK$276*2*AZ266</f>
        <v>5.2</v>
      </c>
      <c r="BG266" s="3">
        <f t="shared" ref="BG266:BG269" si="316">$BJ$276*2*AZ266</f>
        <v>5.6</v>
      </c>
      <c r="BH266" s="3">
        <f t="shared" ref="BH266:BH269" si="317">$BM$276*2*AZ266</f>
        <v>9</v>
      </c>
      <c r="BJ266" s="3">
        <v>4.0</v>
      </c>
      <c r="BN266" s="3" t="s">
        <v>181</v>
      </c>
      <c r="BO266" s="3">
        <v>200.0</v>
      </c>
    </row>
    <row r="267" ht="15.75" customHeight="1">
      <c r="AZ267" s="3">
        <v>3.0</v>
      </c>
      <c r="BA267" s="282">
        <v>5.0</v>
      </c>
      <c r="BB267" s="431">
        <v>22.5</v>
      </c>
      <c r="BC267" s="431">
        <v>32.996399999999994</v>
      </c>
      <c r="BD267" s="378">
        <v>50.0</v>
      </c>
      <c r="BE267" s="3">
        <f t="shared" si="314"/>
        <v>9</v>
      </c>
      <c r="BF267" s="3">
        <f t="shared" si="315"/>
        <v>15.6</v>
      </c>
      <c r="BG267" s="3">
        <f t="shared" si="316"/>
        <v>16.8</v>
      </c>
      <c r="BH267" s="3">
        <f t="shared" si="317"/>
        <v>27</v>
      </c>
      <c r="BJ267" s="3">
        <v>10.0</v>
      </c>
      <c r="BN267" s="3" t="s">
        <v>418</v>
      </c>
      <c r="BO267" s="3">
        <v>240.0</v>
      </c>
    </row>
    <row r="268" ht="15.75" customHeight="1">
      <c r="AZ268" s="3">
        <v>5.0</v>
      </c>
      <c r="BA268" s="282">
        <v>10.0</v>
      </c>
      <c r="BB268" s="431">
        <v>37.744</v>
      </c>
      <c r="BC268" s="431">
        <v>49.744</v>
      </c>
      <c r="BD268" s="378">
        <v>50.0</v>
      </c>
      <c r="BE268" s="3">
        <f t="shared" si="314"/>
        <v>15</v>
      </c>
      <c r="BF268" s="3">
        <f t="shared" si="315"/>
        <v>26</v>
      </c>
      <c r="BG268" s="3">
        <f t="shared" si="316"/>
        <v>28</v>
      </c>
      <c r="BH268" s="3">
        <f t="shared" si="317"/>
        <v>45</v>
      </c>
      <c r="BJ268" s="3">
        <v>15.0</v>
      </c>
      <c r="BN268" s="3" t="s">
        <v>419</v>
      </c>
      <c r="BO268" s="3">
        <v>260.0</v>
      </c>
    </row>
    <row r="269" ht="15.75" customHeight="1">
      <c r="AZ269" s="3">
        <v>13.0</v>
      </c>
      <c r="BA269" s="282">
        <v>25.0</v>
      </c>
      <c r="BB269" s="431">
        <v>98.1344</v>
      </c>
      <c r="BC269" s="431">
        <v>129.33440000000002</v>
      </c>
      <c r="BD269" s="378">
        <v>50.0</v>
      </c>
      <c r="BE269" s="3">
        <f t="shared" ref="BE269:BE271" si="318">$BL$277*2*AZ269</f>
        <v>32.5</v>
      </c>
      <c r="BF269" s="3">
        <f t="shared" si="315"/>
        <v>67.6</v>
      </c>
      <c r="BG269" s="3">
        <f t="shared" si="316"/>
        <v>72.8</v>
      </c>
      <c r="BH269" s="3">
        <f t="shared" si="317"/>
        <v>117</v>
      </c>
      <c r="BJ269" s="3">
        <v>50.0</v>
      </c>
      <c r="BN269" s="3" t="s">
        <v>19</v>
      </c>
      <c r="BO269" s="3">
        <v>300.0</v>
      </c>
    </row>
    <row r="270" ht="15.75" customHeight="1">
      <c r="AZ270" s="3">
        <v>25.0</v>
      </c>
      <c r="BA270" s="282">
        <v>50.0</v>
      </c>
      <c r="BB270" s="431">
        <v>188.72</v>
      </c>
      <c r="BC270" s="431">
        <v>248.72</v>
      </c>
      <c r="BD270" s="378">
        <v>50.0</v>
      </c>
      <c r="BE270" s="3">
        <f t="shared" si="318"/>
        <v>62.5</v>
      </c>
      <c r="BF270" s="3">
        <f t="shared" ref="BF270:BF271" si="319">$BK$277*2*AZ270</f>
        <v>125</v>
      </c>
      <c r="BG270" s="3">
        <f t="shared" ref="BG270:BG271" si="320">$BJ$277*2*AZ270</f>
        <v>127.5</v>
      </c>
      <c r="BH270" s="3">
        <f t="shared" ref="BH270:BH271" si="321">$BM$277*2*AZ270</f>
        <v>195</v>
      </c>
      <c r="BJ270" s="3">
        <v>70.0</v>
      </c>
    </row>
    <row r="271" ht="15.75" customHeight="1">
      <c r="AZ271" s="3">
        <v>50.0</v>
      </c>
      <c r="BA271" s="282">
        <v>100.0</v>
      </c>
      <c r="BB271" s="431">
        <v>332.44</v>
      </c>
      <c r="BC271" s="431">
        <v>497.44</v>
      </c>
      <c r="BD271" s="378">
        <v>60.0</v>
      </c>
      <c r="BE271" s="3">
        <f t="shared" si="318"/>
        <v>125</v>
      </c>
      <c r="BF271" s="3">
        <f t="shared" si="319"/>
        <v>250</v>
      </c>
      <c r="BG271" s="3">
        <f t="shared" si="320"/>
        <v>255</v>
      </c>
      <c r="BH271" s="3">
        <f t="shared" si="321"/>
        <v>390</v>
      </c>
      <c r="BJ271" s="3">
        <v>140.0</v>
      </c>
    </row>
    <row r="272" ht="15.75" customHeight="1">
      <c r="AZ272" s="3">
        <v>125.0</v>
      </c>
      <c r="BA272" s="282">
        <v>250.0</v>
      </c>
      <c r="BB272" s="431">
        <v>793.6000000000001</v>
      </c>
      <c r="BC272" s="431">
        <v>1187.3500000000001</v>
      </c>
      <c r="BD272" s="378">
        <v>60.0</v>
      </c>
      <c r="BE272" s="3">
        <f t="shared" ref="BE272:BE273" si="322">$BL$279*2*AZ272</f>
        <v>287.5</v>
      </c>
      <c r="BF272" s="3">
        <f t="shared" ref="BF272:BF273" si="323">$BK$279*2*AZ272</f>
        <v>550</v>
      </c>
      <c r="BG272" s="3">
        <f t="shared" ref="BG272:BG273" si="324">$BJ$279*2*AZ272</f>
        <v>562.5</v>
      </c>
      <c r="BH272" s="3">
        <f t="shared" ref="BH272:BH273" si="325">$BM$279*2*AZ272</f>
        <v>787.5</v>
      </c>
      <c r="BJ272" s="3">
        <v>240.0</v>
      </c>
    </row>
    <row r="273" ht="15.75" customHeight="1">
      <c r="AZ273" s="3">
        <v>250.0</v>
      </c>
      <c r="BA273" s="282">
        <v>500.0</v>
      </c>
      <c r="BB273" s="431">
        <v>1587.2000000000003</v>
      </c>
      <c r="BC273" s="431">
        <v>2374.7000000000003</v>
      </c>
      <c r="BD273" s="378">
        <v>60.0</v>
      </c>
      <c r="BE273" s="3">
        <f t="shared" si="322"/>
        <v>575</v>
      </c>
      <c r="BF273" s="3">
        <f t="shared" si="323"/>
        <v>1100</v>
      </c>
      <c r="BG273" s="3">
        <f t="shared" si="324"/>
        <v>1125</v>
      </c>
      <c r="BH273" s="3">
        <f t="shared" si="325"/>
        <v>1575</v>
      </c>
      <c r="BJ273" s="3">
        <v>240.0</v>
      </c>
    </row>
    <row r="274" ht="15.75" customHeight="1"/>
    <row r="275" ht="15.75" customHeight="1">
      <c r="BI275" s="18" t="s">
        <v>68</v>
      </c>
      <c r="BJ275" s="18" t="s">
        <v>73</v>
      </c>
      <c r="BK275" s="18" t="s">
        <v>72</v>
      </c>
      <c r="BL275" s="18" t="s">
        <v>71</v>
      </c>
      <c r="BM275" s="78" t="s">
        <v>74</v>
      </c>
    </row>
    <row r="276" ht="15.75" customHeight="1">
      <c r="BE276" s="360">
        <v>1.0</v>
      </c>
      <c r="BF276" s="20">
        <v>9.3488</v>
      </c>
      <c r="BG276" s="20">
        <v>13.248800000000001</v>
      </c>
      <c r="BI276" s="36" t="s">
        <v>75</v>
      </c>
      <c r="BJ276" s="29">
        <v>2.8</v>
      </c>
      <c r="BK276" s="29">
        <v>2.6</v>
      </c>
      <c r="BL276" s="29">
        <v>1.5</v>
      </c>
      <c r="BM276" s="566">
        <v>4.5</v>
      </c>
    </row>
    <row r="277" ht="15.75" customHeight="1">
      <c r="BE277" s="368" t="s">
        <v>179</v>
      </c>
      <c r="BF277" s="20">
        <v>7.5488</v>
      </c>
      <c r="BG277" s="20">
        <v>10.9988</v>
      </c>
      <c r="BI277" s="552" t="s">
        <v>76</v>
      </c>
      <c r="BJ277" s="29">
        <v>2.55</v>
      </c>
      <c r="BK277" s="29">
        <v>2.5</v>
      </c>
      <c r="BL277" s="29">
        <v>1.25</v>
      </c>
      <c r="BM277" s="566">
        <v>3.9</v>
      </c>
    </row>
    <row r="278" ht="15.75" customHeight="1">
      <c r="BE278" s="368" t="s">
        <v>180</v>
      </c>
      <c r="BF278" s="20">
        <v>6.6488</v>
      </c>
      <c r="BG278" s="20">
        <v>9.9488</v>
      </c>
      <c r="BI278" s="36" t="s">
        <v>77</v>
      </c>
      <c r="BJ278" s="29">
        <v>2.4</v>
      </c>
      <c r="BK278" s="29">
        <v>2.35</v>
      </c>
      <c r="BL278" s="29">
        <v>1.2</v>
      </c>
      <c r="BM278" s="566">
        <v>3.25</v>
      </c>
    </row>
    <row r="279" ht="15.75" customHeight="1">
      <c r="BE279" s="368" t="s">
        <v>181</v>
      </c>
      <c r="BF279" s="20">
        <v>6.498799999999999</v>
      </c>
      <c r="BG279" s="20">
        <v>9.7988</v>
      </c>
      <c r="BI279" s="36" t="s">
        <v>78</v>
      </c>
      <c r="BJ279" s="29">
        <v>2.25</v>
      </c>
      <c r="BK279" s="29">
        <v>2.2</v>
      </c>
      <c r="BL279" s="29">
        <v>1.15</v>
      </c>
      <c r="BM279" s="566">
        <v>3.15</v>
      </c>
    </row>
    <row r="280" ht="15.75" customHeight="1">
      <c r="BE280" s="368" t="s">
        <v>182</v>
      </c>
      <c r="BF280" s="20">
        <v>6.348800000000001</v>
      </c>
      <c r="BG280" s="20">
        <v>9.498800000000001</v>
      </c>
      <c r="BI280" s="36" t="s">
        <v>79</v>
      </c>
      <c r="BJ280" s="29">
        <v>2.05</v>
      </c>
      <c r="BK280" s="29">
        <v>2.0</v>
      </c>
      <c r="BL280" s="29">
        <v>1.1</v>
      </c>
      <c r="BM280" s="566">
        <v>3.02</v>
      </c>
    </row>
    <row r="281" ht="15.75" customHeight="1">
      <c r="BE281" s="368" t="s">
        <v>18</v>
      </c>
      <c r="BF281" s="20">
        <v>6.1988</v>
      </c>
      <c r="BG281" s="20">
        <v>9.3488</v>
      </c>
    </row>
    <row r="282" ht="15.75" customHeight="1">
      <c r="BE282" s="355" t="s">
        <v>19</v>
      </c>
      <c r="BF282" s="20">
        <v>6.0488</v>
      </c>
      <c r="BG282" s="20">
        <v>9.0488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</sheetData>
  <mergeCells count="303">
    <mergeCell ref="D85:E85"/>
    <mergeCell ref="F85:G85"/>
    <mergeCell ref="B114:E114"/>
    <mergeCell ref="D139:I139"/>
    <mergeCell ref="B140:C140"/>
    <mergeCell ref="D140:E140"/>
    <mergeCell ref="F140:G140"/>
    <mergeCell ref="H140:I140"/>
    <mergeCell ref="D45:E45"/>
    <mergeCell ref="F45:G45"/>
    <mergeCell ref="B59:C59"/>
    <mergeCell ref="D59:E59"/>
    <mergeCell ref="F59:G59"/>
    <mergeCell ref="B84:I84"/>
    <mergeCell ref="B85:C85"/>
    <mergeCell ref="P102:Q102"/>
    <mergeCell ref="R102:S102"/>
    <mergeCell ref="H85:I85"/>
    <mergeCell ref="B101:I101"/>
    <mergeCell ref="L101:S101"/>
    <mergeCell ref="B102:C102"/>
    <mergeCell ref="D102:E102"/>
    <mergeCell ref="F102:G102"/>
    <mergeCell ref="H102:I102"/>
    <mergeCell ref="L102:M102"/>
    <mergeCell ref="L140:M140"/>
    <mergeCell ref="N102:O102"/>
    <mergeCell ref="H114:K114"/>
    <mergeCell ref="N114:Q114"/>
    <mergeCell ref="T114:W114"/>
    <mergeCell ref="H126:K126"/>
    <mergeCell ref="N126:Q126"/>
    <mergeCell ref="T126:W126"/>
    <mergeCell ref="R85:S85"/>
    <mergeCell ref="V85:W85"/>
    <mergeCell ref="AB85:AC85"/>
    <mergeCell ref="AF85:AG85"/>
    <mergeCell ref="AH85:AI85"/>
    <mergeCell ref="AJ85:AK85"/>
    <mergeCell ref="AL85:AM85"/>
    <mergeCell ref="AP85:AQ85"/>
    <mergeCell ref="AR85:AS85"/>
    <mergeCell ref="AT85:AU85"/>
    <mergeCell ref="BB85:BC85"/>
    <mergeCell ref="BD85:BE85"/>
    <mergeCell ref="BF85:BG85"/>
    <mergeCell ref="BH85:BI85"/>
    <mergeCell ref="L84:S84"/>
    <mergeCell ref="U84:AC84"/>
    <mergeCell ref="AE84:AM84"/>
    <mergeCell ref="AP84:AW84"/>
    <mergeCell ref="L85:M85"/>
    <mergeCell ref="N85:O85"/>
    <mergeCell ref="P85:Q85"/>
    <mergeCell ref="AV85:AW85"/>
    <mergeCell ref="AF33:AG33"/>
    <mergeCell ref="AH33:AI33"/>
    <mergeCell ref="L33:M33"/>
    <mergeCell ref="N33:O33"/>
    <mergeCell ref="R33:S33"/>
    <mergeCell ref="V33:W33"/>
    <mergeCell ref="X33:Y33"/>
    <mergeCell ref="Z33:AA33"/>
    <mergeCell ref="AB33:AC33"/>
    <mergeCell ref="N45:O45"/>
    <mergeCell ref="P45:Q45"/>
    <mergeCell ref="R45:S45"/>
    <mergeCell ref="V45:W45"/>
    <mergeCell ref="AP59:AQ59"/>
    <mergeCell ref="AR59:AS59"/>
    <mergeCell ref="H45:I45"/>
    <mergeCell ref="L45:M45"/>
    <mergeCell ref="I55:J55"/>
    <mergeCell ref="L58:S58"/>
    <mergeCell ref="H59:I59"/>
    <mergeCell ref="L59:M59"/>
    <mergeCell ref="N59:O59"/>
    <mergeCell ref="X85:Y85"/>
    <mergeCell ref="Z85:AA85"/>
    <mergeCell ref="BF102:BG102"/>
    <mergeCell ref="BH102:BI102"/>
    <mergeCell ref="U101:AC101"/>
    <mergeCell ref="AP101:AW101"/>
    <mergeCell ref="BA101:BI101"/>
    <mergeCell ref="V102:W102"/>
    <mergeCell ref="X102:Y102"/>
    <mergeCell ref="Z102:AA102"/>
    <mergeCell ref="AB102:AC102"/>
    <mergeCell ref="AT102:AU102"/>
    <mergeCell ref="AV102:AW102"/>
    <mergeCell ref="AV114:AY114"/>
    <mergeCell ref="AV126:AY126"/>
    <mergeCell ref="AT140:AU140"/>
    <mergeCell ref="AV140:AW140"/>
    <mergeCell ref="AP102:AQ102"/>
    <mergeCell ref="AR102:AS102"/>
    <mergeCell ref="AP114:AS114"/>
    <mergeCell ref="AP126:AS126"/>
    <mergeCell ref="AE139:AJ139"/>
    <mergeCell ref="AO139:AW139"/>
    <mergeCell ref="AF140:AG140"/>
    <mergeCell ref="BD249:BE249"/>
    <mergeCell ref="BF249:BG249"/>
    <mergeCell ref="BH249:BI249"/>
    <mergeCell ref="BJ249:BK249"/>
    <mergeCell ref="BF153:BI153"/>
    <mergeCell ref="BG173:BJ173"/>
    <mergeCell ref="BB174:BC174"/>
    <mergeCell ref="BG174:BH174"/>
    <mergeCell ref="BI174:BJ174"/>
    <mergeCell ref="BA248:BM248"/>
    <mergeCell ref="BB249:BC249"/>
    <mergeCell ref="BL249:BM249"/>
    <mergeCell ref="BB59:BC59"/>
    <mergeCell ref="BD59:BE59"/>
    <mergeCell ref="BF59:BG59"/>
    <mergeCell ref="BH59:BI59"/>
    <mergeCell ref="BA70:BI70"/>
    <mergeCell ref="BA84:BI84"/>
    <mergeCell ref="X45:Y45"/>
    <mergeCell ref="Z45:AA45"/>
    <mergeCell ref="V58:AC58"/>
    <mergeCell ref="AE58:AM58"/>
    <mergeCell ref="AO58:AW58"/>
    <mergeCell ref="BA58:BI58"/>
    <mergeCell ref="AL59:AM59"/>
    <mergeCell ref="AT59:AU59"/>
    <mergeCell ref="AV59:AW59"/>
    <mergeCell ref="AP93:AW93"/>
    <mergeCell ref="AP94:AQ94"/>
    <mergeCell ref="AR94:AS94"/>
    <mergeCell ref="AT94:AU94"/>
    <mergeCell ref="AV94:AW94"/>
    <mergeCell ref="AH140:AI140"/>
    <mergeCell ref="AJ140:AK140"/>
    <mergeCell ref="AP140:AQ140"/>
    <mergeCell ref="AR140:AS140"/>
    <mergeCell ref="BB140:BC140"/>
    <mergeCell ref="BD140:BE140"/>
    <mergeCell ref="BF140:BG140"/>
    <mergeCell ref="BH140:BI140"/>
    <mergeCell ref="BJ140:BJ141"/>
    <mergeCell ref="BB102:BC102"/>
    <mergeCell ref="BD102:BE102"/>
    <mergeCell ref="BB114:BE114"/>
    <mergeCell ref="BH114:BK114"/>
    <mergeCell ref="BB126:BE126"/>
    <mergeCell ref="BH126:BK126"/>
    <mergeCell ref="BA139:BJ139"/>
    <mergeCell ref="V7:AC7"/>
    <mergeCell ref="AE7:AJ7"/>
    <mergeCell ref="AO7:AW7"/>
    <mergeCell ref="BZ7:CA7"/>
    <mergeCell ref="CB7:CC7"/>
    <mergeCell ref="CD7:CE7"/>
    <mergeCell ref="CF7:CG7"/>
    <mergeCell ref="P8:Q8"/>
    <mergeCell ref="R8:S8"/>
    <mergeCell ref="V8:W8"/>
    <mergeCell ref="X8:Y8"/>
    <mergeCell ref="Z8:AA8"/>
    <mergeCell ref="AB8:AC8"/>
    <mergeCell ref="AF8:AG8"/>
    <mergeCell ref="AH8:AI8"/>
    <mergeCell ref="AJ8:AK8"/>
    <mergeCell ref="AL8:AM8"/>
    <mergeCell ref="AP8:AQ8"/>
    <mergeCell ref="AR8:AS8"/>
    <mergeCell ref="AT8:AU8"/>
    <mergeCell ref="AV8:AW8"/>
    <mergeCell ref="CB8:CC8"/>
    <mergeCell ref="CD8:CE8"/>
    <mergeCell ref="CF8:CG8"/>
    <mergeCell ref="BB8:BC8"/>
    <mergeCell ref="BD8:BE8"/>
    <mergeCell ref="BF8:BG8"/>
    <mergeCell ref="BH8:BI8"/>
    <mergeCell ref="BJ8:BK8"/>
    <mergeCell ref="BL8:BM8"/>
    <mergeCell ref="BZ8:CA8"/>
    <mergeCell ref="L7:Q7"/>
    <mergeCell ref="B8:C8"/>
    <mergeCell ref="D8:E8"/>
    <mergeCell ref="F8:G8"/>
    <mergeCell ref="H8:I8"/>
    <mergeCell ref="L8:M8"/>
    <mergeCell ref="N8:O8"/>
    <mergeCell ref="F20:G20"/>
    <mergeCell ref="H20:I20"/>
    <mergeCell ref="BB20:BC20"/>
    <mergeCell ref="BD20:BE20"/>
    <mergeCell ref="BF20:BG20"/>
    <mergeCell ref="BH20:BI20"/>
    <mergeCell ref="BJ20:BK20"/>
    <mergeCell ref="BL20:BM20"/>
    <mergeCell ref="AT20:AU20"/>
    <mergeCell ref="AV20:AW20"/>
    <mergeCell ref="L19:Q19"/>
    <mergeCell ref="V19:AC19"/>
    <mergeCell ref="AE19:AJ19"/>
    <mergeCell ref="AO19:AW19"/>
    <mergeCell ref="BA19:BI19"/>
    <mergeCell ref="B20:C20"/>
    <mergeCell ref="D20:E20"/>
    <mergeCell ref="AV33:AW33"/>
    <mergeCell ref="BB33:BC33"/>
    <mergeCell ref="BJ33:BK33"/>
    <mergeCell ref="BL33:BM33"/>
    <mergeCell ref="AP20:AQ20"/>
    <mergeCell ref="AR20:AS20"/>
    <mergeCell ref="AO32:AW32"/>
    <mergeCell ref="BA32:BI32"/>
    <mergeCell ref="AP33:AQ33"/>
    <mergeCell ref="AR33:AS33"/>
    <mergeCell ref="AT33:AU33"/>
    <mergeCell ref="BH33:BI33"/>
    <mergeCell ref="P20:Q20"/>
    <mergeCell ref="R20:S20"/>
    <mergeCell ref="V20:W20"/>
    <mergeCell ref="X20:Y20"/>
    <mergeCell ref="Z20:AA20"/>
    <mergeCell ref="AB20:AC20"/>
    <mergeCell ref="V32:AC32"/>
    <mergeCell ref="AF20:AG20"/>
    <mergeCell ref="AH20:AI20"/>
    <mergeCell ref="AE32:AJ32"/>
    <mergeCell ref="AJ33:AK33"/>
    <mergeCell ref="AL33:AM33"/>
    <mergeCell ref="AJ20:AK20"/>
    <mergeCell ref="AL20:AM20"/>
    <mergeCell ref="L20:M20"/>
    <mergeCell ref="N20:O20"/>
    <mergeCell ref="L32:Q32"/>
    <mergeCell ref="B33:C33"/>
    <mergeCell ref="D33:E33"/>
    <mergeCell ref="F33:G33"/>
    <mergeCell ref="H33:I33"/>
    <mergeCell ref="P33:Q33"/>
    <mergeCell ref="BD33:BE33"/>
    <mergeCell ref="BF33:BG33"/>
    <mergeCell ref="AB45:AC45"/>
    <mergeCell ref="AF45:AG45"/>
    <mergeCell ref="AH45:AI45"/>
    <mergeCell ref="AJ45:AK45"/>
    <mergeCell ref="AL45:AM45"/>
    <mergeCell ref="AP45:AQ45"/>
    <mergeCell ref="AR45:AS45"/>
    <mergeCell ref="AT45:AU45"/>
    <mergeCell ref="AV45:AW45"/>
    <mergeCell ref="BB45:BC45"/>
    <mergeCell ref="BD45:BE45"/>
    <mergeCell ref="BF45:BG45"/>
    <mergeCell ref="BJ45:BK45"/>
    <mergeCell ref="BL45:BM45"/>
    <mergeCell ref="I41:J41"/>
    <mergeCell ref="L44:S44"/>
    <mergeCell ref="V44:AC44"/>
    <mergeCell ref="AE44:AJ44"/>
    <mergeCell ref="AO44:AW44"/>
    <mergeCell ref="BA44:BI44"/>
    <mergeCell ref="B45:C45"/>
    <mergeCell ref="BH45:BI45"/>
    <mergeCell ref="AH59:AI59"/>
    <mergeCell ref="AJ59:AK59"/>
    <mergeCell ref="BJ59:BK59"/>
    <mergeCell ref="BL59:BM59"/>
    <mergeCell ref="P59:Q59"/>
    <mergeCell ref="R59:S59"/>
    <mergeCell ref="V59:W59"/>
    <mergeCell ref="X59:Y59"/>
    <mergeCell ref="Z59:AA59"/>
    <mergeCell ref="AB59:AC59"/>
    <mergeCell ref="AF59:AG59"/>
    <mergeCell ref="AL71:AM71"/>
    <mergeCell ref="AP71:AQ71"/>
    <mergeCell ref="L70:S70"/>
    <mergeCell ref="V70:AC70"/>
    <mergeCell ref="AE70:AM70"/>
    <mergeCell ref="AO70:AW70"/>
    <mergeCell ref="B71:C71"/>
    <mergeCell ref="D71:E71"/>
    <mergeCell ref="F71:G71"/>
    <mergeCell ref="AV71:AW71"/>
    <mergeCell ref="H71:I71"/>
    <mergeCell ref="L71:M71"/>
    <mergeCell ref="N71:O71"/>
    <mergeCell ref="P71:Q71"/>
    <mergeCell ref="R71:S71"/>
    <mergeCell ref="V71:W71"/>
    <mergeCell ref="X71:Y71"/>
    <mergeCell ref="Z71:AA71"/>
    <mergeCell ref="AB71:AC71"/>
    <mergeCell ref="AF71:AG71"/>
    <mergeCell ref="AH71:AI71"/>
    <mergeCell ref="AJ71:AK71"/>
    <mergeCell ref="AR71:AS71"/>
    <mergeCell ref="AT71:AU71"/>
    <mergeCell ref="BB71:BC71"/>
    <mergeCell ref="BD71:BE71"/>
    <mergeCell ref="BF71:BG71"/>
    <mergeCell ref="BH71:BI71"/>
    <mergeCell ref="BJ71:BK71"/>
    <mergeCell ref="BL71:BM71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22.43"/>
    <col customWidth="1" min="5" max="7" width="11.14"/>
    <col customWidth="1" min="8" max="8" width="11.29"/>
    <col customWidth="1" min="9" max="9" width="11.86"/>
    <col customWidth="1" min="10" max="12" width="11.43"/>
    <col customWidth="1" min="13" max="13" width="15.0"/>
    <col customWidth="1" min="14" max="20" width="11.43"/>
    <col customWidth="1" min="21" max="21" width="7.29"/>
    <col customWidth="1" min="22" max="22" width="16.71"/>
    <col customWidth="1" min="23" max="27" width="11.43"/>
  </cols>
  <sheetData>
    <row r="1">
      <c r="A1" s="517"/>
      <c r="B1" s="518"/>
      <c r="C1" s="518" t="s">
        <v>636</v>
      </c>
      <c r="D1" s="518"/>
      <c r="E1" s="567" t="s">
        <v>637</v>
      </c>
      <c r="F1" s="567" t="s">
        <v>638</v>
      </c>
      <c r="G1" s="568" t="s">
        <v>633</v>
      </c>
      <c r="H1" s="519"/>
      <c r="I1" s="3" t="s">
        <v>639</v>
      </c>
      <c r="J1" s="569" t="s">
        <v>640</v>
      </c>
      <c r="K1" s="569" t="s">
        <v>353</v>
      </c>
      <c r="L1" s="569" t="s">
        <v>641</v>
      </c>
      <c r="M1" s="569" t="s">
        <v>361</v>
      </c>
      <c r="N1" s="569" t="s">
        <v>98</v>
      </c>
      <c r="O1" s="569" t="s">
        <v>367</v>
      </c>
      <c r="P1" s="569" t="s">
        <v>642</v>
      </c>
      <c r="Q1" s="569" t="s">
        <v>643</v>
      </c>
      <c r="R1" s="569" t="s">
        <v>258</v>
      </c>
      <c r="S1" s="3"/>
      <c r="T1" s="3"/>
      <c r="U1" s="3"/>
      <c r="V1" s="3"/>
      <c r="W1" s="3"/>
      <c r="X1" s="3"/>
      <c r="Y1" s="3"/>
      <c r="Z1" s="3"/>
      <c r="AA1" s="3"/>
    </row>
    <row r="2">
      <c r="A2" s="520">
        <v>11.0</v>
      </c>
      <c r="B2" s="3">
        <v>28.0</v>
      </c>
      <c r="C2" s="3">
        <f>A2*B2</f>
        <v>308</v>
      </c>
      <c r="D2" s="570" t="s">
        <v>104</v>
      </c>
      <c r="E2" s="571" t="s">
        <v>10</v>
      </c>
      <c r="F2" s="571" t="s">
        <v>467</v>
      </c>
      <c r="G2" s="572" t="s">
        <v>10</v>
      </c>
      <c r="H2" s="52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73" t="s">
        <v>644</v>
      </c>
      <c r="B3" s="3"/>
      <c r="C3" s="574" t="s">
        <v>523</v>
      </c>
      <c r="D3" s="575"/>
      <c r="E3" s="576">
        <v>292.8</v>
      </c>
      <c r="F3" s="577">
        <v>318.07</v>
      </c>
      <c r="G3" s="577">
        <v>362.0</v>
      </c>
      <c r="H3" s="5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73"/>
      <c r="B4" s="3"/>
      <c r="C4" s="578"/>
      <c r="D4" s="579"/>
      <c r="E4" s="580">
        <v>464.0</v>
      </c>
      <c r="F4" s="581">
        <v>507.0</v>
      </c>
      <c r="G4" s="582">
        <v>561.56</v>
      </c>
      <c r="H4" s="52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73"/>
      <c r="B5" s="3">
        <v>3000.0</v>
      </c>
      <c r="C5" s="578"/>
      <c r="D5" s="583">
        <v>500.0</v>
      </c>
      <c r="E5" s="584">
        <f>C2*E3+B5</f>
        <v>93182.4</v>
      </c>
      <c r="F5" s="584">
        <f>C2*F3+B5</f>
        <v>100965.56</v>
      </c>
      <c r="G5" s="584">
        <f>C2*G3+B5</f>
        <v>114496</v>
      </c>
      <c r="H5" s="521"/>
      <c r="I5" s="3" t="s">
        <v>645</v>
      </c>
      <c r="J5" s="3"/>
      <c r="K5" s="3"/>
      <c r="L5" s="3"/>
      <c r="M5" s="3"/>
      <c r="N5" s="3"/>
      <c r="O5" s="3" t="s">
        <v>646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73"/>
      <c r="B6" s="3">
        <v>5000.0</v>
      </c>
      <c r="C6" s="585"/>
      <c r="D6" s="586">
        <v>1000.0</v>
      </c>
      <c r="E6" s="584">
        <f>C2*E4+B6</f>
        <v>147912</v>
      </c>
      <c r="F6" s="584">
        <f>C2*F4+B6</f>
        <v>161156</v>
      </c>
      <c r="G6" s="584">
        <f>C2*G4+B6</f>
        <v>177960.48</v>
      </c>
      <c r="H6" s="521"/>
      <c r="I6" s="3" t="s">
        <v>645</v>
      </c>
      <c r="J6" s="3"/>
      <c r="K6" s="3"/>
      <c r="L6" s="3"/>
      <c r="M6" s="3"/>
      <c r="N6" s="3"/>
      <c r="O6" s="3">
        <v>60.0</v>
      </c>
      <c r="P6" s="3"/>
      <c r="Q6" s="3"/>
      <c r="R6" s="3"/>
      <c r="S6" s="3">
        <v>1.0</v>
      </c>
      <c r="T6" s="3"/>
      <c r="U6" s="3"/>
      <c r="V6" s="3"/>
      <c r="W6" s="3"/>
      <c r="X6" s="3"/>
      <c r="Y6" s="3"/>
      <c r="Z6" s="3"/>
      <c r="AA6" s="3"/>
    </row>
    <row r="7">
      <c r="A7" s="573"/>
      <c r="B7" s="3"/>
      <c r="C7" s="574" t="s">
        <v>647</v>
      </c>
      <c r="D7" s="587">
        <v>100.0</v>
      </c>
      <c r="E7" s="588">
        <f t="shared" ref="E7:E10" si="1">F7/1.15</f>
        <v>4279795.055</v>
      </c>
      <c r="F7" s="588">
        <f>$S$7</f>
        <v>4921764.313</v>
      </c>
      <c r="G7" s="588">
        <f t="shared" ref="G7:G10" si="2">F7*1.1</f>
        <v>5413940.745</v>
      </c>
      <c r="H7" s="521"/>
      <c r="I7" s="3"/>
      <c r="J7" s="3">
        <v>4.0</v>
      </c>
      <c r="K7" s="3">
        <f t="shared" ref="K7:K10" si="3">D7/J7</f>
        <v>25</v>
      </c>
      <c r="L7" s="277">
        <f>Bajadas!E6</f>
        <v>196651.3209</v>
      </c>
      <c r="M7" s="107">
        <f t="shared" ref="M7:M10" si="4">L7*K7</f>
        <v>4916283.023</v>
      </c>
      <c r="N7" s="107">
        <v>200.0</v>
      </c>
      <c r="O7" s="107">
        <f>K7*O6</f>
        <v>1500</v>
      </c>
      <c r="P7" s="107">
        <f t="shared" ref="P7:P10" si="5">Q7*K7</f>
        <v>3781.290049</v>
      </c>
      <c r="Q7" s="123">
        <f>Laminado!C8</f>
        <v>151.2516019</v>
      </c>
      <c r="R7" s="392">
        <f t="shared" ref="R7:R10" si="6">SUM(M7:P7)</f>
        <v>4921764.313</v>
      </c>
      <c r="S7" s="123">
        <f t="shared" ref="S7:S10" si="7">R7*$S$6</f>
        <v>4921764.313</v>
      </c>
      <c r="T7" s="3"/>
      <c r="U7" s="3"/>
      <c r="V7" s="3"/>
      <c r="W7" s="3"/>
      <c r="X7" s="3"/>
      <c r="Y7" s="3"/>
      <c r="Z7" s="3"/>
      <c r="AA7" s="3"/>
    </row>
    <row r="8">
      <c r="A8" s="573"/>
      <c r="B8" s="3"/>
      <c r="C8" s="578"/>
      <c r="D8" s="587">
        <v>300.0</v>
      </c>
      <c r="E8" s="588">
        <f t="shared" si="1"/>
        <v>12449772.48</v>
      </c>
      <c r="F8" s="588">
        <f>$S$8</f>
        <v>14317238.35</v>
      </c>
      <c r="G8" s="588">
        <f t="shared" si="2"/>
        <v>15748962.18</v>
      </c>
      <c r="H8" s="521"/>
      <c r="I8" s="3" t="s">
        <v>645</v>
      </c>
      <c r="J8" s="3">
        <v>4.0</v>
      </c>
      <c r="K8" s="3">
        <f t="shared" si="3"/>
        <v>75</v>
      </c>
      <c r="L8" s="277">
        <f>Bajadas!E7</f>
        <v>190692.19</v>
      </c>
      <c r="M8" s="107">
        <f t="shared" si="4"/>
        <v>14301914.25</v>
      </c>
      <c r="N8" s="107">
        <v>400.0</v>
      </c>
      <c r="O8" s="107">
        <f>K8*O6</f>
        <v>4500</v>
      </c>
      <c r="P8" s="107">
        <f t="shared" si="5"/>
        <v>10424.09689</v>
      </c>
      <c r="Q8" s="123">
        <f>Laminado!C9</f>
        <v>138.9879585</v>
      </c>
      <c r="R8" s="392">
        <f t="shared" si="6"/>
        <v>14317238.35</v>
      </c>
      <c r="S8" s="123">
        <f t="shared" si="7"/>
        <v>14317238.35</v>
      </c>
      <c r="T8" s="3"/>
      <c r="U8" s="3"/>
      <c r="V8" s="3"/>
      <c r="W8" s="3"/>
      <c r="X8" s="3"/>
      <c r="Y8" s="3"/>
      <c r="Z8" s="3"/>
      <c r="AA8" s="3"/>
    </row>
    <row r="9">
      <c r="A9" s="573"/>
      <c r="B9" s="3"/>
      <c r="C9" s="578"/>
      <c r="D9" s="583">
        <v>500.0</v>
      </c>
      <c r="E9" s="588">
        <f t="shared" si="1"/>
        <v>20100063.41</v>
      </c>
      <c r="F9" s="588">
        <f>$S$9</f>
        <v>23115072.92</v>
      </c>
      <c r="G9" s="588">
        <f t="shared" si="2"/>
        <v>25426580.21</v>
      </c>
      <c r="H9" s="521"/>
      <c r="I9" s="3"/>
      <c r="J9" s="3">
        <v>4.0</v>
      </c>
      <c r="K9" s="3">
        <f t="shared" si="3"/>
        <v>125</v>
      </c>
      <c r="L9" s="277">
        <f>Bajadas!E8</f>
        <v>184733.0591</v>
      </c>
      <c r="M9" s="107">
        <f t="shared" si="4"/>
        <v>23091632.38</v>
      </c>
      <c r="N9" s="107">
        <v>600.0</v>
      </c>
      <c r="O9" s="107">
        <v>7000.0</v>
      </c>
      <c r="P9" s="107">
        <f t="shared" si="5"/>
        <v>15840.53939</v>
      </c>
      <c r="Q9" s="123">
        <f>Laminado!C10</f>
        <v>126.7243151</v>
      </c>
      <c r="R9" s="392">
        <f t="shared" si="6"/>
        <v>23115072.92</v>
      </c>
      <c r="S9" s="123">
        <f t="shared" si="7"/>
        <v>23115072.92</v>
      </c>
      <c r="T9" s="3"/>
      <c r="U9" s="3"/>
      <c r="V9" s="3"/>
      <c r="W9" s="3"/>
      <c r="X9" s="3"/>
      <c r="Y9" s="3"/>
      <c r="Z9" s="3"/>
      <c r="AA9" s="3"/>
    </row>
    <row r="10">
      <c r="A10" s="573"/>
      <c r="B10" s="3"/>
      <c r="C10" s="585"/>
      <c r="D10" s="586">
        <v>1000.0</v>
      </c>
      <c r="E10" s="588">
        <f t="shared" si="1"/>
        <v>38896451.45</v>
      </c>
      <c r="F10" s="588">
        <f>$S$10</f>
        <v>44730919.17</v>
      </c>
      <c r="G10" s="588">
        <f t="shared" si="2"/>
        <v>49204011.09</v>
      </c>
      <c r="H10" s="521"/>
      <c r="I10" s="3" t="s">
        <v>645</v>
      </c>
      <c r="J10" s="3">
        <v>4.0</v>
      </c>
      <c r="K10" s="3">
        <f t="shared" si="3"/>
        <v>250</v>
      </c>
      <c r="L10" s="277">
        <f>Bajadas!E9</f>
        <v>178773.9281</v>
      </c>
      <c r="M10" s="107">
        <f t="shared" si="4"/>
        <v>44693482.03</v>
      </c>
      <c r="N10" s="107">
        <v>800.0</v>
      </c>
      <c r="O10" s="107">
        <v>7000.0</v>
      </c>
      <c r="P10" s="107">
        <f t="shared" si="5"/>
        <v>29637.13822</v>
      </c>
      <c r="Q10" s="123">
        <f>Laminado!C11</f>
        <v>118.5485529</v>
      </c>
      <c r="R10" s="392">
        <f t="shared" si="6"/>
        <v>44730919.17</v>
      </c>
      <c r="S10" s="123">
        <f t="shared" si="7"/>
        <v>44730919.17</v>
      </c>
      <c r="T10" s="3"/>
      <c r="U10" s="3"/>
      <c r="V10" s="3"/>
      <c r="W10" s="3"/>
      <c r="X10" s="3"/>
      <c r="Y10" s="3"/>
      <c r="Z10" s="3"/>
      <c r="AA10" s="3"/>
    </row>
    <row r="11">
      <c r="A11" s="520"/>
      <c r="B11" s="3"/>
      <c r="C11" s="3"/>
      <c r="D11" s="3"/>
      <c r="E11" s="3"/>
      <c r="F11" s="3"/>
      <c r="G11" s="3"/>
      <c r="H11" s="52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20"/>
      <c r="B12" s="3"/>
      <c r="C12" s="3" t="s">
        <v>648</v>
      </c>
      <c r="D12" s="3"/>
      <c r="E12" s="567" t="s">
        <v>637</v>
      </c>
      <c r="F12" s="567" t="s">
        <v>638</v>
      </c>
      <c r="G12" s="568" t="s">
        <v>633</v>
      </c>
      <c r="H12" s="521"/>
      <c r="I12" s="3" t="s">
        <v>639</v>
      </c>
      <c r="J12" s="569" t="s">
        <v>640</v>
      </c>
      <c r="K12" s="569" t="s">
        <v>353</v>
      </c>
      <c r="L12" s="569" t="s">
        <v>641</v>
      </c>
      <c r="M12" s="569" t="s">
        <v>361</v>
      </c>
      <c r="N12" s="569" t="s">
        <v>98</v>
      </c>
      <c r="O12" s="569" t="s">
        <v>367</v>
      </c>
      <c r="P12" s="569" t="s">
        <v>642</v>
      </c>
      <c r="Q12" s="569" t="s">
        <v>643</v>
      </c>
      <c r="R12" s="569" t="s">
        <v>258</v>
      </c>
      <c r="S12" s="3"/>
      <c r="T12" s="3"/>
      <c r="U12" s="3"/>
      <c r="V12" s="3"/>
      <c r="W12" s="3"/>
      <c r="X12" s="3"/>
      <c r="Y12" s="3"/>
      <c r="Z12" s="3"/>
      <c r="AA12" s="3"/>
    </row>
    <row r="13">
      <c r="A13" s="520">
        <v>16.0</v>
      </c>
      <c r="B13" s="3">
        <v>37.0</v>
      </c>
      <c r="C13" s="3">
        <f>A13*B13</f>
        <v>592</v>
      </c>
      <c r="D13" s="570" t="s">
        <v>104</v>
      </c>
      <c r="E13" s="571" t="s">
        <v>467</v>
      </c>
      <c r="F13" s="571" t="s">
        <v>11</v>
      </c>
      <c r="G13" s="572" t="s">
        <v>11</v>
      </c>
      <c r="H13" s="52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569" t="s">
        <v>103</v>
      </c>
      <c r="U13" s="3"/>
      <c r="V13" s="3" t="s">
        <v>649</v>
      </c>
      <c r="W13" s="3"/>
      <c r="X13" s="567" t="s">
        <v>637</v>
      </c>
      <c r="Y13" s="567" t="s">
        <v>650</v>
      </c>
      <c r="Z13" s="568" t="s">
        <v>651</v>
      </c>
      <c r="AA13" s="3"/>
    </row>
    <row r="14">
      <c r="A14" s="573" t="s">
        <v>652</v>
      </c>
      <c r="B14" s="3"/>
      <c r="C14" s="574" t="s">
        <v>523</v>
      </c>
      <c r="D14" s="575"/>
      <c r="E14" s="576">
        <v>292.8</v>
      </c>
      <c r="F14" s="577">
        <v>318.07</v>
      </c>
      <c r="G14" s="577">
        <v>362.0</v>
      </c>
      <c r="H14" s="52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570" t="s">
        <v>104</v>
      </c>
      <c r="X14" s="589" t="s">
        <v>10</v>
      </c>
      <c r="Y14" s="571" t="s">
        <v>11</v>
      </c>
      <c r="Z14" s="572" t="s">
        <v>11</v>
      </c>
      <c r="AA14" s="3"/>
    </row>
    <row r="15">
      <c r="A15" s="573"/>
      <c r="B15" s="3"/>
      <c r="C15" s="578"/>
      <c r="D15" s="579"/>
      <c r="E15" s="580">
        <v>464.0</v>
      </c>
      <c r="F15" s="581">
        <v>507.0</v>
      </c>
      <c r="G15" s="582">
        <v>561.56</v>
      </c>
      <c r="H15" s="52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574" t="s">
        <v>523</v>
      </c>
      <c r="W15" s="590">
        <v>100.0</v>
      </c>
      <c r="X15" s="591">
        <f t="shared" ref="X15:X20" si="8">F15*$AC$14</f>
        <v>0</v>
      </c>
      <c r="Y15" s="592"/>
      <c r="Z15" s="593"/>
      <c r="AA15" s="3"/>
    </row>
    <row r="16">
      <c r="A16" s="573"/>
      <c r="B16" s="3">
        <v>3000.0</v>
      </c>
      <c r="C16" s="578"/>
      <c r="D16" s="583">
        <v>500.0</v>
      </c>
      <c r="E16" s="584">
        <f>C13*E14+B16</f>
        <v>176337.6</v>
      </c>
      <c r="F16" s="584">
        <f>C13*F14+B16</f>
        <v>191297.44</v>
      </c>
      <c r="G16" s="584">
        <f>C13*G14+B16</f>
        <v>217304</v>
      </c>
      <c r="H16" s="521"/>
      <c r="I16" s="3" t="s">
        <v>645</v>
      </c>
      <c r="J16" s="3"/>
      <c r="K16" s="3"/>
      <c r="L16" s="3"/>
      <c r="M16" s="3"/>
      <c r="N16" s="3"/>
      <c r="O16" s="3" t="s">
        <v>646</v>
      </c>
      <c r="P16" s="3"/>
      <c r="Q16" s="3"/>
      <c r="R16" s="3"/>
      <c r="S16" s="3"/>
      <c r="T16" s="3"/>
      <c r="U16" s="3"/>
      <c r="V16" s="578"/>
      <c r="W16" s="594">
        <v>500.0</v>
      </c>
      <c r="X16" s="591">
        <f t="shared" si="8"/>
        <v>0</v>
      </c>
      <c r="Y16" s="595"/>
      <c r="Z16" s="596"/>
      <c r="AA16" s="3"/>
    </row>
    <row r="17">
      <c r="A17" s="573"/>
      <c r="B17" s="3">
        <v>5000.0</v>
      </c>
      <c r="C17" s="585"/>
      <c r="D17" s="586">
        <v>1000.0</v>
      </c>
      <c r="E17" s="584">
        <f>C13*E15+B17</f>
        <v>279688</v>
      </c>
      <c r="F17" s="584">
        <f>C13*F15+B17</f>
        <v>305144</v>
      </c>
      <c r="G17" s="584">
        <f>C13*G15+B17</f>
        <v>337443.52</v>
      </c>
      <c r="H17" s="521"/>
      <c r="I17" s="3" t="s">
        <v>645</v>
      </c>
      <c r="J17" s="3"/>
      <c r="K17" s="3"/>
      <c r="L17" s="3"/>
      <c r="M17" s="3"/>
      <c r="N17" s="3"/>
      <c r="O17" s="3">
        <v>60.0</v>
      </c>
      <c r="P17" s="3"/>
      <c r="Q17" s="3"/>
      <c r="R17" s="3"/>
      <c r="S17" s="3">
        <v>1.0</v>
      </c>
      <c r="T17" s="3"/>
      <c r="U17" s="3"/>
      <c r="V17" s="585"/>
      <c r="W17" s="597">
        <v>1000.0</v>
      </c>
      <c r="X17" s="591">
        <f t="shared" si="8"/>
        <v>0</v>
      </c>
      <c r="Y17" s="598"/>
      <c r="Z17" s="599"/>
      <c r="AA17" s="3"/>
    </row>
    <row r="18">
      <c r="A18" s="573"/>
      <c r="B18" s="3"/>
      <c r="C18" s="574" t="s">
        <v>647</v>
      </c>
      <c r="D18" s="587">
        <v>100.0</v>
      </c>
      <c r="E18" s="588">
        <f t="shared" ref="E18:E21" si="9">F18/1.15</f>
        <v>8559416.197</v>
      </c>
      <c r="F18" s="588">
        <f>$S$18</f>
        <v>9843328.627</v>
      </c>
      <c r="G18" s="588">
        <f t="shared" ref="G18:G21" si="10">F18*1.1</f>
        <v>10827661.49</v>
      </c>
      <c r="H18" s="521"/>
      <c r="I18" s="3"/>
      <c r="J18" s="3">
        <v>2.0</v>
      </c>
      <c r="K18" s="3">
        <f t="shared" ref="K18:K21" si="11">D18/J18</f>
        <v>50</v>
      </c>
      <c r="L18" s="277">
        <f>Bajadas!E6</f>
        <v>196651.3209</v>
      </c>
      <c r="M18" s="107">
        <f t="shared" ref="M18:M21" si="12">L18*K18</f>
        <v>9832566.047</v>
      </c>
      <c r="N18" s="107">
        <v>200.0</v>
      </c>
      <c r="O18" s="107">
        <f>K18*O17</f>
        <v>3000</v>
      </c>
      <c r="P18" s="107">
        <f t="shared" ref="P18:P21" si="13">Q18*K18</f>
        <v>7562.580097</v>
      </c>
      <c r="Q18" s="123">
        <f>Laminado!C8</f>
        <v>151.2516019</v>
      </c>
      <c r="R18" s="392">
        <f t="shared" ref="R18:R21" si="14">SUM(M18:P18)</f>
        <v>9843328.627</v>
      </c>
      <c r="S18" s="123">
        <f t="shared" ref="S18:S21" si="15">R18*$S$6</f>
        <v>9843328.627</v>
      </c>
      <c r="T18" s="3"/>
      <c r="U18" s="3"/>
      <c r="V18" s="574" t="s">
        <v>647</v>
      </c>
      <c r="W18" s="600">
        <v>100.0</v>
      </c>
      <c r="X18" s="591">
        <f t="shared" si="8"/>
        <v>0</v>
      </c>
      <c r="Y18" s="591">
        <f t="shared" ref="Y18:Y20" si="16">G18*$AC$14</f>
        <v>0</v>
      </c>
      <c r="Z18" s="593"/>
      <c r="AA18" s="3"/>
    </row>
    <row r="19">
      <c r="A19" s="573"/>
      <c r="B19" s="3"/>
      <c r="C19" s="578"/>
      <c r="D19" s="587">
        <v>300.0</v>
      </c>
      <c r="E19" s="588">
        <f t="shared" si="9"/>
        <v>24895718.86</v>
      </c>
      <c r="F19" s="588">
        <f>$S$19</f>
        <v>28630076.69</v>
      </c>
      <c r="G19" s="588">
        <f t="shared" si="10"/>
        <v>31493084.36</v>
      </c>
      <c r="H19" s="521"/>
      <c r="I19" s="3" t="s">
        <v>645</v>
      </c>
      <c r="J19" s="3">
        <v>2.0</v>
      </c>
      <c r="K19" s="3">
        <f t="shared" si="11"/>
        <v>150</v>
      </c>
      <c r="L19" s="277">
        <f>Bajadas!E7</f>
        <v>190692.19</v>
      </c>
      <c r="M19" s="107">
        <f t="shared" si="12"/>
        <v>28603828.5</v>
      </c>
      <c r="N19" s="107">
        <v>400.0</v>
      </c>
      <c r="O19" s="107">
        <v>5000.0</v>
      </c>
      <c r="P19" s="107">
        <f t="shared" si="13"/>
        <v>20848.19378</v>
      </c>
      <c r="Q19" s="123">
        <f>Laminado!C9</f>
        <v>138.9879585</v>
      </c>
      <c r="R19" s="392">
        <f t="shared" si="14"/>
        <v>28630076.69</v>
      </c>
      <c r="S19" s="123">
        <f t="shared" si="15"/>
        <v>28630076.69</v>
      </c>
      <c r="T19" s="3"/>
      <c r="U19" s="3"/>
      <c r="V19" s="578"/>
      <c r="W19" s="594">
        <v>500.0</v>
      </c>
      <c r="X19" s="591">
        <f t="shared" si="8"/>
        <v>0</v>
      </c>
      <c r="Y19" s="591">
        <f t="shared" si="16"/>
        <v>0</v>
      </c>
      <c r="Z19" s="596"/>
      <c r="AA19" s="3"/>
    </row>
    <row r="20">
      <c r="A20" s="573"/>
      <c r="B20" s="3"/>
      <c r="C20" s="578"/>
      <c r="D20" s="583">
        <v>500.0</v>
      </c>
      <c r="E20" s="588">
        <f t="shared" si="9"/>
        <v>40191779</v>
      </c>
      <c r="F20" s="588">
        <f>$S$20</f>
        <v>46220545.84</v>
      </c>
      <c r="G20" s="588">
        <f t="shared" si="10"/>
        <v>50842600.43</v>
      </c>
      <c r="H20" s="521"/>
      <c r="I20" s="3"/>
      <c r="J20" s="3">
        <v>2.0</v>
      </c>
      <c r="K20" s="3">
        <f t="shared" si="11"/>
        <v>250</v>
      </c>
      <c r="L20" s="277">
        <f>Bajadas!E8</f>
        <v>184733.0591</v>
      </c>
      <c r="M20" s="107">
        <f t="shared" si="12"/>
        <v>46183264.77</v>
      </c>
      <c r="N20" s="107">
        <v>600.0</v>
      </c>
      <c r="O20" s="107">
        <v>5000.0</v>
      </c>
      <c r="P20" s="107">
        <f t="shared" si="13"/>
        <v>31681.07879</v>
      </c>
      <c r="Q20" s="123">
        <f>Laminado!C10</f>
        <v>126.7243151</v>
      </c>
      <c r="R20" s="392">
        <f t="shared" si="14"/>
        <v>46220545.84</v>
      </c>
      <c r="S20" s="123">
        <f t="shared" si="15"/>
        <v>46220545.84</v>
      </c>
      <c r="T20" s="3"/>
      <c r="U20" s="3"/>
      <c r="V20" s="585"/>
      <c r="W20" s="597">
        <v>1000.0</v>
      </c>
      <c r="X20" s="591">
        <f t="shared" si="8"/>
        <v>0</v>
      </c>
      <c r="Y20" s="591">
        <f t="shared" si="16"/>
        <v>0</v>
      </c>
      <c r="Z20" s="591">
        <f>H20*$AC$14</f>
        <v>0</v>
      </c>
      <c r="AA20" s="3"/>
    </row>
    <row r="21" ht="15.75" customHeight="1">
      <c r="A21" s="573"/>
      <c r="B21" s="3"/>
      <c r="C21" s="585"/>
      <c r="D21" s="586">
        <v>1000.0</v>
      </c>
      <c r="E21" s="588">
        <f t="shared" si="9"/>
        <v>77786120.29</v>
      </c>
      <c r="F21" s="588">
        <f>$S$21</f>
        <v>89454038.34</v>
      </c>
      <c r="G21" s="588">
        <f t="shared" si="10"/>
        <v>98399442.17</v>
      </c>
      <c r="H21" s="521"/>
      <c r="I21" s="3" t="s">
        <v>645</v>
      </c>
      <c r="J21" s="3">
        <v>2.0</v>
      </c>
      <c r="K21" s="3">
        <f t="shared" si="11"/>
        <v>500</v>
      </c>
      <c r="L21" s="277">
        <f>Bajadas!E9</f>
        <v>178773.9281</v>
      </c>
      <c r="M21" s="107">
        <f t="shared" si="12"/>
        <v>89386964.06</v>
      </c>
      <c r="N21" s="107">
        <v>800.0</v>
      </c>
      <c r="O21" s="107">
        <v>7000.0</v>
      </c>
      <c r="P21" s="107">
        <f t="shared" si="13"/>
        <v>59274.27644</v>
      </c>
      <c r="Q21" s="123">
        <f>Laminado!C11</f>
        <v>118.5485529</v>
      </c>
      <c r="R21" s="392">
        <f t="shared" si="14"/>
        <v>89454038.34</v>
      </c>
      <c r="S21" s="123">
        <f t="shared" si="15"/>
        <v>89454038.34</v>
      </c>
      <c r="T21" s="3"/>
      <c r="U21" s="3"/>
      <c r="V21" s="3"/>
      <c r="W21" s="3"/>
      <c r="X21" s="3"/>
      <c r="Y21" s="3"/>
      <c r="Z21" s="3"/>
      <c r="AA21" s="3"/>
    </row>
    <row r="22" ht="15.75" customHeight="1">
      <c r="A22" s="525"/>
      <c r="B22" s="601"/>
      <c r="C22" s="601"/>
      <c r="D22" s="601"/>
      <c r="E22" s="601"/>
      <c r="F22" s="601"/>
      <c r="G22" s="601"/>
      <c r="H22" s="531"/>
      <c r="I22" s="3"/>
      <c r="J22" s="3"/>
      <c r="K22" s="3"/>
      <c r="L22" s="3"/>
      <c r="M22" s="3"/>
      <c r="N22" s="3"/>
      <c r="O22" s="3"/>
      <c r="P22" s="3"/>
      <c r="Q22" s="3"/>
      <c r="R22" s="3"/>
      <c r="S22" s="602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 t="s">
        <v>653</v>
      </c>
      <c r="D23" s="3"/>
      <c r="E23" s="567" t="s">
        <v>637</v>
      </c>
      <c r="F23" s="567" t="s">
        <v>638</v>
      </c>
      <c r="G23" s="568" t="s">
        <v>633</v>
      </c>
      <c r="H23" s="3"/>
      <c r="I23" s="3" t="s">
        <v>639</v>
      </c>
      <c r="J23" s="569" t="s">
        <v>640</v>
      </c>
      <c r="K23" s="569" t="s">
        <v>353</v>
      </c>
      <c r="L23" s="569" t="s">
        <v>641</v>
      </c>
      <c r="M23" s="569" t="s">
        <v>361</v>
      </c>
      <c r="N23" s="569" t="s">
        <v>98</v>
      </c>
      <c r="O23" s="569" t="s">
        <v>367</v>
      </c>
      <c r="P23" s="569" t="s">
        <v>642</v>
      </c>
      <c r="Q23" s="569" t="s">
        <v>643</v>
      </c>
      <c r="R23" s="569" t="s">
        <v>258</v>
      </c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>
        <v>20.0</v>
      </c>
      <c r="B24" s="3">
        <v>23.0</v>
      </c>
      <c r="C24" s="3">
        <f>A24*B24</f>
        <v>460</v>
      </c>
      <c r="D24" s="570" t="s">
        <v>104</v>
      </c>
      <c r="E24" s="571" t="s">
        <v>467</v>
      </c>
      <c r="F24" s="571" t="s">
        <v>11</v>
      </c>
      <c r="G24" s="572" t="s">
        <v>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569" t="s">
        <v>103</v>
      </c>
      <c r="U24" s="3"/>
      <c r="V24" s="3" t="s">
        <v>649</v>
      </c>
      <c r="W24" s="3"/>
      <c r="X24" s="567" t="s">
        <v>637</v>
      </c>
      <c r="Y24" s="567" t="s">
        <v>650</v>
      </c>
      <c r="Z24" s="568" t="s">
        <v>651</v>
      </c>
      <c r="AA24" s="3"/>
    </row>
    <row r="25" ht="15.75" customHeight="1">
      <c r="A25" s="603" t="s">
        <v>654</v>
      </c>
      <c r="B25" s="3"/>
      <c r="C25" s="574" t="s">
        <v>523</v>
      </c>
      <c r="D25" s="575"/>
      <c r="E25" s="576">
        <v>292.8</v>
      </c>
      <c r="F25" s="577">
        <v>318.07</v>
      </c>
      <c r="G25" s="577">
        <v>362.0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570" t="s">
        <v>104</v>
      </c>
      <c r="X25" s="589" t="s">
        <v>10</v>
      </c>
      <c r="Y25" s="571" t="s">
        <v>11</v>
      </c>
      <c r="Z25" s="572" t="s">
        <v>11</v>
      </c>
      <c r="AA25" s="3"/>
    </row>
    <row r="26" ht="15.75" customHeight="1">
      <c r="A26" s="603"/>
      <c r="B26" s="3"/>
      <c r="C26" s="578"/>
      <c r="D26" s="579"/>
      <c r="E26" s="580">
        <v>464.0</v>
      </c>
      <c r="F26" s="581">
        <v>507.0</v>
      </c>
      <c r="G26" s="582">
        <v>561.56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574" t="s">
        <v>523</v>
      </c>
      <c r="W26" s="590">
        <v>100.0</v>
      </c>
      <c r="X26" s="591">
        <f t="shared" ref="X26:X31" si="17">F26*$AC$14</f>
        <v>0</v>
      </c>
      <c r="Y26" s="592"/>
      <c r="Z26" s="593"/>
      <c r="AA26" s="3"/>
    </row>
    <row r="27" ht="15.75" customHeight="1">
      <c r="A27" s="603"/>
      <c r="B27" s="3">
        <v>3000.0</v>
      </c>
      <c r="C27" s="578"/>
      <c r="D27" s="583">
        <v>500.0</v>
      </c>
      <c r="E27" s="584">
        <f>C24*E25+B27</f>
        <v>137688</v>
      </c>
      <c r="F27" s="584">
        <f>C24*F25+B27</f>
        <v>149312.2</v>
      </c>
      <c r="G27" s="584">
        <f>C24*G25+B27</f>
        <v>169520</v>
      </c>
      <c r="H27" s="3"/>
      <c r="I27" s="3" t="s">
        <v>645</v>
      </c>
      <c r="J27" s="3"/>
      <c r="K27" s="3"/>
      <c r="L27" s="3"/>
      <c r="M27" s="3"/>
      <c r="N27" s="3"/>
      <c r="O27" s="3" t="s">
        <v>646</v>
      </c>
      <c r="P27" s="3"/>
      <c r="Q27" s="3"/>
      <c r="R27" s="3"/>
      <c r="S27" s="3"/>
      <c r="T27" s="3"/>
      <c r="U27" s="3"/>
      <c r="V27" s="578"/>
      <c r="W27" s="594">
        <v>500.0</v>
      </c>
      <c r="X27" s="591">
        <f t="shared" si="17"/>
        <v>0</v>
      </c>
      <c r="Y27" s="595"/>
      <c r="Z27" s="596"/>
      <c r="AA27" s="3"/>
    </row>
    <row r="28" ht="15.75" customHeight="1">
      <c r="A28" s="603"/>
      <c r="B28" s="3">
        <v>5000.0</v>
      </c>
      <c r="C28" s="585"/>
      <c r="D28" s="586">
        <v>1000.0</v>
      </c>
      <c r="E28" s="584">
        <f>C24*E26+B28</f>
        <v>218440</v>
      </c>
      <c r="F28" s="584">
        <f>C24*F26+B28</f>
        <v>238220</v>
      </c>
      <c r="G28" s="584">
        <f>C24*G26+B28</f>
        <v>263317.6</v>
      </c>
      <c r="H28" s="3"/>
      <c r="I28" s="3" t="s">
        <v>645</v>
      </c>
      <c r="J28" s="3"/>
      <c r="K28" s="3"/>
      <c r="L28" s="3"/>
      <c r="M28" s="3"/>
      <c r="N28" s="3"/>
      <c r="O28" s="3">
        <v>60.0</v>
      </c>
      <c r="P28" s="3"/>
      <c r="Q28" s="3"/>
      <c r="R28" s="3"/>
      <c r="S28" s="3">
        <v>1.0</v>
      </c>
      <c r="T28" s="3"/>
      <c r="U28" s="3"/>
      <c r="V28" s="585"/>
      <c r="W28" s="597">
        <v>1000.0</v>
      </c>
      <c r="X28" s="591">
        <f t="shared" si="17"/>
        <v>0</v>
      </c>
      <c r="Y28" s="598"/>
      <c r="Z28" s="599"/>
      <c r="AA28" s="3"/>
    </row>
    <row r="29" ht="15.75" customHeight="1">
      <c r="A29" s="603"/>
      <c r="B29" s="3"/>
      <c r="C29" s="574" t="s">
        <v>647</v>
      </c>
      <c r="D29" s="587">
        <v>100.0</v>
      </c>
      <c r="E29" s="588">
        <f t="shared" ref="E29:E32" si="18">F29/1.15</f>
        <v>8559416.197</v>
      </c>
      <c r="F29" s="588">
        <f>$S$29</f>
        <v>9843328.627</v>
      </c>
      <c r="G29" s="588">
        <f t="shared" ref="G29:G32" si="19">F29*1.1</f>
        <v>10827661.49</v>
      </c>
      <c r="H29" s="3"/>
      <c r="I29" s="3"/>
      <c r="J29" s="3">
        <v>2.0</v>
      </c>
      <c r="K29" s="3">
        <f t="shared" ref="K29:K32" si="20">D29/J29</f>
        <v>50</v>
      </c>
      <c r="L29" s="277">
        <f>Bajadas!E6</f>
        <v>196651.3209</v>
      </c>
      <c r="M29" s="107">
        <f t="shared" ref="M29:M32" si="21">L29*K29</f>
        <v>9832566.047</v>
      </c>
      <c r="N29" s="107">
        <v>200.0</v>
      </c>
      <c r="O29" s="107">
        <f>K29*O28</f>
        <v>3000</v>
      </c>
      <c r="P29" s="107">
        <f t="shared" ref="P29:P32" si="22">Q29*K29</f>
        <v>7562.580097</v>
      </c>
      <c r="Q29" s="123">
        <f>Laminado!C8</f>
        <v>151.2516019</v>
      </c>
      <c r="R29" s="392">
        <f t="shared" ref="R29:R32" si="23">SUM(M29:P29)</f>
        <v>9843328.627</v>
      </c>
      <c r="S29" s="123">
        <f t="shared" ref="S29:S32" si="24">R29*$S$6</f>
        <v>9843328.627</v>
      </c>
      <c r="T29" s="3"/>
      <c r="U29" s="3"/>
      <c r="V29" s="574" t="s">
        <v>647</v>
      </c>
      <c r="W29" s="600">
        <v>100.0</v>
      </c>
      <c r="X29" s="591">
        <f t="shared" si="17"/>
        <v>0</v>
      </c>
      <c r="Y29" s="591">
        <f t="shared" ref="Y29:Y31" si="25">G29*$AC$14</f>
        <v>0</v>
      </c>
      <c r="Z29" s="593"/>
      <c r="AA29" s="3"/>
    </row>
    <row r="30" ht="15.75" customHeight="1">
      <c r="A30" s="603"/>
      <c r="B30" s="3"/>
      <c r="C30" s="578"/>
      <c r="D30" s="587">
        <v>300.0</v>
      </c>
      <c r="E30" s="588">
        <f t="shared" si="18"/>
        <v>24895718.86</v>
      </c>
      <c r="F30" s="588">
        <f>$S$19</f>
        <v>28630076.69</v>
      </c>
      <c r="G30" s="588">
        <f t="shared" si="19"/>
        <v>31493084.36</v>
      </c>
      <c r="H30" s="3"/>
      <c r="I30" s="3" t="s">
        <v>645</v>
      </c>
      <c r="J30" s="3">
        <v>2.0</v>
      </c>
      <c r="K30" s="3">
        <f t="shared" si="20"/>
        <v>150</v>
      </c>
      <c r="L30" s="277">
        <f>Bajadas!E7</f>
        <v>190692.19</v>
      </c>
      <c r="M30" s="107">
        <f t="shared" si="21"/>
        <v>28603828.5</v>
      </c>
      <c r="N30" s="107">
        <v>400.0</v>
      </c>
      <c r="O30" s="107">
        <v>5000.0</v>
      </c>
      <c r="P30" s="107">
        <f t="shared" si="22"/>
        <v>20848.19378</v>
      </c>
      <c r="Q30" s="123">
        <f>Laminado!C9</f>
        <v>138.9879585</v>
      </c>
      <c r="R30" s="392">
        <f t="shared" si="23"/>
        <v>28630076.69</v>
      </c>
      <c r="S30" s="123">
        <f t="shared" si="24"/>
        <v>28630076.69</v>
      </c>
      <c r="T30" s="3"/>
      <c r="U30" s="3"/>
      <c r="V30" s="578"/>
      <c r="W30" s="594">
        <v>500.0</v>
      </c>
      <c r="X30" s="591">
        <f t="shared" si="17"/>
        <v>0</v>
      </c>
      <c r="Y30" s="591">
        <f t="shared" si="25"/>
        <v>0</v>
      </c>
      <c r="Z30" s="596"/>
      <c r="AA30" s="3"/>
    </row>
    <row r="31" ht="15.75" customHeight="1">
      <c r="A31" s="603"/>
      <c r="B31" s="3"/>
      <c r="C31" s="578"/>
      <c r="D31" s="583">
        <v>500.0</v>
      </c>
      <c r="E31" s="588">
        <f t="shared" si="18"/>
        <v>40191779</v>
      </c>
      <c r="F31" s="588">
        <f>$S$20</f>
        <v>46220545.84</v>
      </c>
      <c r="G31" s="588">
        <f t="shared" si="19"/>
        <v>50842600.43</v>
      </c>
      <c r="H31" s="3"/>
      <c r="I31" s="3"/>
      <c r="J31" s="3">
        <v>2.0</v>
      </c>
      <c r="K31" s="3">
        <f t="shared" si="20"/>
        <v>250</v>
      </c>
      <c r="L31" s="277">
        <f>Bajadas!E8</f>
        <v>184733.0591</v>
      </c>
      <c r="M31" s="107">
        <f t="shared" si="21"/>
        <v>46183264.77</v>
      </c>
      <c r="N31" s="107">
        <v>600.0</v>
      </c>
      <c r="O31" s="107">
        <v>5000.0</v>
      </c>
      <c r="P31" s="107">
        <f t="shared" si="22"/>
        <v>31681.07879</v>
      </c>
      <c r="Q31" s="123">
        <f>Laminado!C10</f>
        <v>126.7243151</v>
      </c>
      <c r="R31" s="392">
        <f t="shared" si="23"/>
        <v>46220545.84</v>
      </c>
      <c r="S31" s="123">
        <f t="shared" si="24"/>
        <v>46220545.84</v>
      </c>
      <c r="T31" s="3"/>
      <c r="U31" s="3"/>
      <c r="V31" s="585"/>
      <c r="W31" s="597">
        <v>1000.0</v>
      </c>
      <c r="X31" s="591">
        <f t="shared" si="17"/>
        <v>0</v>
      </c>
      <c r="Y31" s="591">
        <f t="shared" si="25"/>
        <v>0</v>
      </c>
      <c r="Z31" s="591">
        <f>H31*$AC$14</f>
        <v>0</v>
      </c>
      <c r="AA31" s="3"/>
    </row>
    <row r="32" ht="15.75" customHeight="1">
      <c r="A32" s="603"/>
      <c r="B32" s="3"/>
      <c r="C32" s="585"/>
      <c r="D32" s="586">
        <v>1000.0</v>
      </c>
      <c r="E32" s="588">
        <f t="shared" si="18"/>
        <v>77786120.29</v>
      </c>
      <c r="F32" s="588">
        <f>$S$32</f>
        <v>89454038.34</v>
      </c>
      <c r="G32" s="588">
        <f t="shared" si="19"/>
        <v>98399442.17</v>
      </c>
      <c r="H32" s="3"/>
      <c r="I32" s="3" t="s">
        <v>645</v>
      </c>
      <c r="J32" s="3">
        <v>2.0</v>
      </c>
      <c r="K32" s="3">
        <f t="shared" si="20"/>
        <v>500</v>
      </c>
      <c r="L32" s="277">
        <f>Bajadas!E9</f>
        <v>178773.9281</v>
      </c>
      <c r="M32" s="107">
        <f t="shared" si="21"/>
        <v>89386964.06</v>
      </c>
      <c r="N32" s="107">
        <v>800.0</v>
      </c>
      <c r="O32" s="107">
        <v>7000.0</v>
      </c>
      <c r="P32" s="107">
        <f t="shared" si="22"/>
        <v>59274.27644</v>
      </c>
      <c r="Q32" s="123">
        <f>Laminado!C11</f>
        <v>118.5485529</v>
      </c>
      <c r="R32" s="392">
        <f t="shared" si="23"/>
        <v>89454038.34</v>
      </c>
      <c r="S32" s="123">
        <f t="shared" si="24"/>
        <v>89454038.34</v>
      </c>
      <c r="T32" s="3"/>
      <c r="U32" s="3"/>
      <c r="V32" s="3"/>
      <c r="W32" s="3"/>
      <c r="X32" s="3"/>
      <c r="Y32" s="3"/>
      <c r="Z32" s="3"/>
      <c r="AA32" s="3"/>
    </row>
    <row r="33" ht="15.75" customHeight="1">
      <c r="A33" s="604"/>
      <c r="B33" s="157"/>
      <c r="C33" s="605"/>
      <c r="D33" s="606"/>
      <c r="E33" s="607"/>
      <c r="F33" s="607"/>
      <c r="G33" s="607"/>
      <c r="H33" s="157"/>
      <c r="I33" s="157"/>
      <c r="J33" s="157"/>
      <c r="K33" s="157"/>
      <c r="L33" s="157"/>
      <c r="M33" s="608"/>
      <c r="N33" s="608"/>
      <c r="O33" s="608"/>
      <c r="P33" s="608"/>
      <c r="Q33" s="609"/>
      <c r="R33" s="610"/>
      <c r="S33" s="609"/>
      <c r="T33" s="157"/>
      <c r="U33" s="157"/>
      <c r="V33" s="157"/>
      <c r="W33" s="157"/>
      <c r="X33" s="157"/>
      <c r="Y33" s="157"/>
      <c r="Z33" s="157"/>
      <c r="AA33" s="157"/>
    </row>
    <row r="34" ht="15.75" customHeight="1">
      <c r="A34" s="3"/>
      <c r="B34" s="3"/>
      <c r="C34" s="3" t="s">
        <v>655</v>
      </c>
      <c r="D34" s="3"/>
      <c r="E34" s="611" t="s">
        <v>637</v>
      </c>
      <c r="F34" s="611" t="s">
        <v>638</v>
      </c>
      <c r="G34" s="612" t="s">
        <v>633</v>
      </c>
      <c r="H34" s="3"/>
      <c r="I34" s="3" t="s">
        <v>639</v>
      </c>
      <c r="J34" s="569" t="s">
        <v>640</v>
      </c>
      <c r="K34" s="569" t="s">
        <v>353</v>
      </c>
      <c r="L34" s="569" t="s">
        <v>641</v>
      </c>
      <c r="M34" s="569" t="s">
        <v>361</v>
      </c>
      <c r="N34" s="569" t="s">
        <v>98</v>
      </c>
      <c r="O34" s="569" t="s">
        <v>367</v>
      </c>
      <c r="P34" s="569" t="s">
        <v>642</v>
      </c>
      <c r="Q34" s="569" t="s">
        <v>643</v>
      </c>
      <c r="R34" s="569" t="s">
        <v>258</v>
      </c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>
        <v>14.0</v>
      </c>
      <c r="B35" s="3">
        <v>25.0</v>
      </c>
      <c r="C35" s="3">
        <f>A35*B35</f>
        <v>350</v>
      </c>
      <c r="D35" s="570" t="s">
        <v>104</v>
      </c>
      <c r="E35" s="571" t="s">
        <v>10</v>
      </c>
      <c r="F35" s="571" t="s">
        <v>467</v>
      </c>
      <c r="G35" s="572" t="s">
        <v>10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603" t="s">
        <v>656</v>
      </c>
      <c r="B36" s="3"/>
      <c r="C36" s="574" t="s">
        <v>523</v>
      </c>
      <c r="D36" s="575"/>
      <c r="E36" s="576">
        <v>292.8</v>
      </c>
      <c r="F36" s="577">
        <v>318.07</v>
      </c>
      <c r="G36" s="577">
        <v>362.0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603"/>
      <c r="B37" s="3"/>
      <c r="C37" s="578"/>
      <c r="D37" s="579"/>
      <c r="E37" s="580">
        <v>464.0</v>
      </c>
      <c r="F37" s="581">
        <v>507.0</v>
      </c>
      <c r="G37" s="582">
        <v>561.56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603"/>
      <c r="B38" s="3">
        <v>3000.0</v>
      </c>
      <c r="C38" s="578"/>
      <c r="D38" s="583">
        <v>500.0</v>
      </c>
      <c r="E38" s="584">
        <f>C35*E36+B38</f>
        <v>105480</v>
      </c>
      <c r="F38" s="584">
        <f>C35*F36+B38</f>
        <v>114324.5</v>
      </c>
      <c r="G38" s="584">
        <f>C35*G36+B38</f>
        <v>129700</v>
      </c>
      <c r="H38" s="3"/>
      <c r="I38" s="3" t="s">
        <v>645</v>
      </c>
      <c r="J38" s="3"/>
      <c r="K38" s="3"/>
      <c r="L38" s="3"/>
      <c r="M38" s="3"/>
      <c r="N38" s="3"/>
      <c r="O38" s="3" t="s">
        <v>646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603"/>
      <c r="B39" s="3">
        <v>5000.0</v>
      </c>
      <c r="C39" s="585"/>
      <c r="D39" s="586">
        <v>1000.0</v>
      </c>
      <c r="E39" s="584">
        <f>C35*E37+B39</f>
        <v>167400</v>
      </c>
      <c r="F39" s="584">
        <f>C35*F37+B39</f>
        <v>182450</v>
      </c>
      <c r="G39" s="584">
        <f>C35*G37+B39</f>
        <v>201546</v>
      </c>
      <c r="H39" s="3"/>
      <c r="I39" s="3" t="s">
        <v>645</v>
      </c>
      <c r="J39" s="3"/>
      <c r="K39" s="3"/>
      <c r="L39" s="3"/>
      <c r="M39" s="3"/>
      <c r="N39" s="3"/>
      <c r="O39" s="3">
        <v>60.0</v>
      </c>
      <c r="P39" s="3"/>
      <c r="Q39" s="3"/>
      <c r="R39" s="3"/>
      <c r="S39" s="3">
        <v>1.0</v>
      </c>
      <c r="T39" s="3"/>
      <c r="U39" s="3"/>
      <c r="V39" s="3"/>
      <c r="W39" s="3"/>
      <c r="X39" s="3"/>
      <c r="Y39" s="3"/>
      <c r="Z39" s="3"/>
      <c r="AA39" s="3"/>
    </row>
    <row r="40" ht="15.75" customHeight="1">
      <c r="A40" s="603"/>
      <c r="B40" s="3"/>
      <c r="C40" s="574" t="s">
        <v>647</v>
      </c>
      <c r="D40" s="587">
        <v>100.0</v>
      </c>
      <c r="E40" s="588">
        <f t="shared" ref="E40:E43" si="26">F40/1.15</f>
        <v>5820458.666</v>
      </c>
      <c r="F40" s="588">
        <f>$S$40</f>
        <v>6693527.466</v>
      </c>
      <c r="G40" s="588">
        <f t="shared" ref="G40:G43" si="27">F40*1.1</f>
        <v>7362880.213</v>
      </c>
      <c r="H40" s="3"/>
      <c r="I40" s="3"/>
      <c r="J40" s="3">
        <v>3.0</v>
      </c>
      <c r="K40" s="3">
        <v>34.0</v>
      </c>
      <c r="L40" s="277">
        <f>Bajadas!E6</f>
        <v>196651.3209</v>
      </c>
      <c r="M40" s="107">
        <f t="shared" ref="M40:M43" si="28">L40*K40</f>
        <v>6686144.912</v>
      </c>
      <c r="N40" s="107">
        <v>200.0</v>
      </c>
      <c r="O40" s="107">
        <f>K40*O39</f>
        <v>2040</v>
      </c>
      <c r="P40" s="107">
        <f t="shared" ref="P40:P43" si="29">Q40*K40</f>
        <v>5142.554466</v>
      </c>
      <c r="Q40" s="123">
        <f>Laminado!C8</f>
        <v>151.2516019</v>
      </c>
      <c r="R40" s="392">
        <f t="shared" ref="R40:R43" si="30">SUM(M40:P40)</f>
        <v>6693527.466</v>
      </c>
      <c r="S40" s="123">
        <f t="shared" ref="S40:S43" si="31">R40*$S$6</f>
        <v>6693527.466</v>
      </c>
      <c r="T40" s="3"/>
      <c r="U40" s="3"/>
      <c r="V40" s="3"/>
      <c r="W40" s="3"/>
      <c r="X40" s="3"/>
      <c r="Y40" s="3"/>
      <c r="Z40" s="3"/>
      <c r="AA40" s="3"/>
    </row>
    <row r="41" ht="15.75" customHeight="1">
      <c r="A41" s="603"/>
      <c r="B41" s="3"/>
      <c r="C41" s="578"/>
      <c r="D41" s="587">
        <v>300.0</v>
      </c>
      <c r="E41" s="588">
        <f t="shared" si="26"/>
        <v>16594798.08</v>
      </c>
      <c r="F41" s="588">
        <f>$S$41</f>
        <v>19084017.8</v>
      </c>
      <c r="G41" s="588">
        <f t="shared" si="27"/>
        <v>20992419.58</v>
      </c>
      <c r="H41" s="3"/>
      <c r="I41" s="3" t="s">
        <v>645</v>
      </c>
      <c r="J41" s="3">
        <v>3.0</v>
      </c>
      <c r="K41" s="3">
        <v>100.0</v>
      </c>
      <c r="L41" s="277">
        <f>Bajadas!E7</f>
        <v>190692.19</v>
      </c>
      <c r="M41" s="107">
        <f t="shared" si="28"/>
        <v>19069219</v>
      </c>
      <c r="N41" s="107">
        <v>400.0</v>
      </c>
      <c r="O41" s="107">
        <v>500.0</v>
      </c>
      <c r="P41" s="107">
        <f t="shared" si="29"/>
        <v>13898.79585</v>
      </c>
      <c r="Q41" s="123">
        <f>Laminado!C9</f>
        <v>138.9879585</v>
      </c>
      <c r="R41" s="392">
        <f t="shared" si="30"/>
        <v>19084017.8</v>
      </c>
      <c r="S41" s="123">
        <f t="shared" si="31"/>
        <v>19084017.8</v>
      </c>
      <c r="T41" s="3"/>
      <c r="U41" s="3"/>
      <c r="V41" s="3"/>
      <c r="W41" s="3"/>
      <c r="X41" s="3"/>
      <c r="Y41" s="3"/>
      <c r="Z41" s="3"/>
      <c r="AA41" s="3"/>
    </row>
    <row r="42" ht="15.75" customHeight="1">
      <c r="A42" s="603"/>
      <c r="B42" s="3"/>
      <c r="C42" s="578"/>
      <c r="D42" s="583">
        <v>500.0</v>
      </c>
      <c r="E42" s="588">
        <f t="shared" si="26"/>
        <v>26845812.02</v>
      </c>
      <c r="F42" s="588">
        <f>$S$42</f>
        <v>30872683.82</v>
      </c>
      <c r="G42" s="588">
        <f t="shared" si="27"/>
        <v>33959952.21</v>
      </c>
      <c r="H42" s="3"/>
      <c r="I42" s="3"/>
      <c r="J42" s="3">
        <v>3.0</v>
      </c>
      <c r="K42" s="3">
        <v>167.0</v>
      </c>
      <c r="L42" s="277">
        <f>Bajadas!E8</f>
        <v>184733.0591</v>
      </c>
      <c r="M42" s="107">
        <f t="shared" si="28"/>
        <v>30850420.86</v>
      </c>
      <c r="N42" s="107">
        <v>600.0</v>
      </c>
      <c r="O42" s="107">
        <v>500.0</v>
      </c>
      <c r="P42" s="107">
        <f t="shared" si="29"/>
        <v>21162.96063</v>
      </c>
      <c r="Q42" s="123">
        <f>Laminado!C10</f>
        <v>126.7243151</v>
      </c>
      <c r="R42" s="392">
        <f t="shared" si="30"/>
        <v>30872683.82</v>
      </c>
      <c r="S42" s="123">
        <f t="shared" si="31"/>
        <v>30872683.82</v>
      </c>
      <c r="T42" s="3"/>
      <c r="U42" s="3"/>
      <c r="V42" s="3"/>
      <c r="W42" s="3"/>
      <c r="X42" s="3"/>
      <c r="Y42" s="3"/>
      <c r="Z42" s="3"/>
      <c r="AA42" s="3"/>
    </row>
    <row r="43" ht="15.75" customHeight="1">
      <c r="A43" s="603"/>
      <c r="B43" s="3"/>
      <c r="C43" s="585"/>
      <c r="D43" s="586">
        <v>1000.0</v>
      </c>
      <c r="E43" s="588">
        <f t="shared" si="26"/>
        <v>51963380.18</v>
      </c>
      <c r="F43" s="588">
        <f>$S$43</f>
        <v>59757887.21</v>
      </c>
      <c r="G43" s="588">
        <f t="shared" si="27"/>
        <v>65733675.93</v>
      </c>
      <c r="H43" s="3"/>
      <c r="I43" s="3" t="s">
        <v>645</v>
      </c>
      <c r="J43" s="3">
        <v>3.0</v>
      </c>
      <c r="K43" s="3">
        <v>334.0</v>
      </c>
      <c r="L43" s="277">
        <f>Bajadas!E9</f>
        <v>178773.9281</v>
      </c>
      <c r="M43" s="107">
        <f t="shared" si="28"/>
        <v>59710491.99</v>
      </c>
      <c r="N43" s="107">
        <v>800.0</v>
      </c>
      <c r="O43" s="107">
        <v>7000.0</v>
      </c>
      <c r="P43" s="107">
        <f t="shared" si="29"/>
        <v>39595.21666</v>
      </c>
      <c r="Q43" s="123">
        <f>Laminado!C11</f>
        <v>118.5485529</v>
      </c>
      <c r="R43" s="392">
        <f t="shared" si="30"/>
        <v>59757887.21</v>
      </c>
      <c r="S43" s="123">
        <f t="shared" si="31"/>
        <v>59757887.21</v>
      </c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 t="s">
        <v>657</v>
      </c>
      <c r="D45" s="3"/>
      <c r="E45" s="611" t="s">
        <v>637</v>
      </c>
      <c r="F45" s="611" t="s">
        <v>638</v>
      </c>
      <c r="G45" s="612" t="s">
        <v>633</v>
      </c>
      <c r="H45" s="3"/>
      <c r="I45" s="3" t="s">
        <v>639</v>
      </c>
      <c r="J45" s="569" t="s">
        <v>640</v>
      </c>
      <c r="K45" s="569" t="s">
        <v>353</v>
      </c>
      <c r="L45" s="569" t="s">
        <v>641</v>
      </c>
      <c r="M45" s="569" t="s">
        <v>361</v>
      </c>
      <c r="N45" s="569" t="s">
        <v>98</v>
      </c>
      <c r="O45" s="569" t="s">
        <v>367</v>
      </c>
      <c r="P45" s="569" t="s">
        <v>642</v>
      </c>
      <c r="Q45" s="569" t="s">
        <v>643</v>
      </c>
      <c r="R45" s="569" t="s">
        <v>258</v>
      </c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>
        <v>25.0</v>
      </c>
      <c r="B46" s="3">
        <v>21.0</v>
      </c>
      <c r="C46" s="3">
        <f>A46*B46</f>
        <v>525</v>
      </c>
      <c r="D46" s="570" t="s">
        <v>104</v>
      </c>
      <c r="E46" s="571" t="s">
        <v>10</v>
      </c>
      <c r="F46" s="571" t="s">
        <v>467</v>
      </c>
      <c r="G46" s="572" t="s">
        <v>10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603" t="s">
        <v>658</v>
      </c>
      <c r="B47" s="3"/>
      <c r="C47" s="574" t="s">
        <v>523</v>
      </c>
      <c r="D47" s="575"/>
      <c r="E47" s="576">
        <v>292.8</v>
      </c>
      <c r="F47" s="577">
        <v>318.07</v>
      </c>
      <c r="G47" s="577">
        <v>362.0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603"/>
      <c r="B48" s="3"/>
      <c r="C48" s="578"/>
      <c r="D48" s="579"/>
      <c r="E48" s="580">
        <v>464.0</v>
      </c>
      <c r="F48" s="581">
        <v>507.0</v>
      </c>
      <c r="G48" s="582">
        <v>561.56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603"/>
      <c r="B49" s="3">
        <v>3000.0</v>
      </c>
      <c r="C49" s="578"/>
      <c r="D49" s="583">
        <v>500.0</v>
      </c>
      <c r="E49" s="584">
        <f>C46*E47+B49</f>
        <v>156720</v>
      </c>
      <c r="F49" s="584">
        <f>C46*F47+B49</f>
        <v>169986.75</v>
      </c>
      <c r="G49" s="584">
        <f>C46*G47+B49</f>
        <v>193050</v>
      </c>
      <c r="H49" s="3"/>
      <c r="I49" s="3" t="s">
        <v>645</v>
      </c>
      <c r="J49" s="3"/>
      <c r="K49" s="3"/>
      <c r="L49" s="3"/>
      <c r="M49" s="3"/>
      <c r="N49" s="3"/>
      <c r="O49" s="3" t="s">
        <v>646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603"/>
      <c r="B50" s="3">
        <v>5000.0</v>
      </c>
      <c r="C50" s="585"/>
      <c r="D50" s="586">
        <v>1000.0</v>
      </c>
      <c r="E50" s="584">
        <f>C46*E48+B50</f>
        <v>248600</v>
      </c>
      <c r="F50" s="584">
        <f>C46*F48+B50</f>
        <v>271175</v>
      </c>
      <c r="G50" s="584">
        <f>C46*G48+B50</f>
        <v>299819</v>
      </c>
      <c r="H50" s="3"/>
      <c r="I50" s="3" t="s">
        <v>645</v>
      </c>
      <c r="J50" s="3"/>
      <c r="K50" s="3"/>
      <c r="L50" s="3"/>
      <c r="M50" s="3"/>
      <c r="N50" s="3"/>
      <c r="O50" s="3">
        <v>60.0</v>
      </c>
      <c r="P50" s="3"/>
      <c r="Q50" s="3"/>
      <c r="R50" s="3"/>
      <c r="S50" s="3">
        <v>1.0</v>
      </c>
      <c r="T50" s="3"/>
      <c r="U50" s="3"/>
      <c r="V50" s="3"/>
      <c r="W50" s="3"/>
      <c r="X50" s="3"/>
      <c r="Y50" s="3"/>
      <c r="Z50" s="3"/>
      <c r="AA50" s="3"/>
    </row>
    <row r="51" ht="15.75" customHeight="1">
      <c r="A51" s="603"/>
      <c r="B51" s="3"/>
      <c r="C51" s="574" t="s">
        <v>647</v>
      </c>
      <c r="D51" s="587">
        <v>100.0</v>
      </c>
      <c r="E51" s="588">
        <f t="shared" ref="E51:E54" si="32">F51/1.15</f>
        <v>8559416.197</v>
      </c>
      <c r="F51" s="588">
        <f>$S$51</f>
        <v>9843328.627</v>
      </c>
      <c r="G51" s="588">
        <f t="shared" ref="G51:G54" si="33">F51*1.1</f>
        <v>10827661.49</v>
      </c>
      <c r="H51" s="3"/>
      <c r="I51" s="3"/>
      <c r="J51" s="3">
        <v>2.0</v>
      </c>
      <c r="K51" s="3">
        <f t="shared" ref="K51:K54" si="34">D51/J51</f>
        <v>50</v>
      </c>
      <c r="L51" s="277">
        <f>Bajadas!E6</f>
        <v>196651.3209</v>
      </c>
      <c r="M51" s="107">
        <f t="shared" ref="M51:M54" si="35">L51*K51</f>
        <v>9832566.047</v>
      </c>
      <c r="N51" s="107">
        <v>200.0</v>
      </c>
      <c r="O51" s="107">
        <f>K51*O50</f>
        <v>3000</v>
      </c>
      <c r="P51" s="107">
        <f>Q40*K51</f>
        <v>7562.580097</v>
      </c>
      <c r="Q51" s="123">
        <f t="shared" ref="Q51:Q54" si="36">Q40</f>
        <v>151.2516019</v>
      </c>
      <c r="R51" s="392">
        <f t="shared" ref="R51:R54" si="37">SUM(M51:P51)</f>
        <v>9843328.627</v>
      </c>
      <c r="S51" s="123">
        <f t="shared" ref="S51:S54" si="38">R51*$S$6</f>
        <v>9843328.627</v>
      </c>
      <c r="T51" s="3"/>
      <c r="U51" s="3"/>
      <c r="V51" s="3"/>
      <c r="W51" s="3"/>
      <c r="X51" s="3"/>
      <c r="Y51" s="3"/>
      <c r="Z51" s="3"/>
      <c r="AA51" s="3"/>
    </row>
    <row r="52" ht="15.75" customHeight="1">
      <c r="A52" s="603"/>
      <c r="B52" s="3"/>
      <c r="C52" s="578"/>
      <c r="D52" s="587">
        <v>300.0</v>
      </c>
      <c r="E52" s="588">
        <f t="shared" si="32"/>
        <v>24891805.82</v>
      </c>
      <c r="F52" s="588">
        <f>$S$52</f>
        <v>28625576.69</v>
      </c>
      <c r="G52" s="588">
        <f t="shared" si="33"/>
        <v>31488134.36</v>
      </c>
      <c r="H52" s="3"/>
      <c r="I52" s="3" t="s">
        <v>645</v>
      </c>
      <c r="J52" s="3">
        <v>2.0</v>
      </c>
      <c r="K52" s="3">
        <f t="shared" si="34"/>
        <v>150</v>
      </c>
      <c r="L52" s="277">
        <f>Bajadas!E7</f>
        <v>190692.19</v>
      </c>
      <c r="M52" s="107">
        <f t="shared" si="35"/>
        <v>28603828.5</v>
      </c>
      <c r="N52" s="107">
        <v>400.0</v>
      </c>
      <c r="O52" s="107">
        <v>500.0</v>
      </c>
      <c r="P52" s="107">
        <f t="shared" ref="P52:P54" si="39">Q52*K52</f>
        <v>20848.19378</v>
      </c>
      <c r="Q52" s="123">
        <f t="shared" si="36"/>
        <v>138.9879585</v>
      </c>
      <c r="R52" s="392">
        <f t="shared" si="37"/>
        <v>28625576.69</v>
      </c>
      <c r="S52" s="123">
        <f t="shared" si="38"/>
        <v>28625576.69</v>
      </c>
      <c r="T52" s="3"/>
      <c r="U52" s="3"/>
      <c r="V52" s="3"/>
      <c r="W52" s="3"/>
      <c r="X52" s="3"/>
      <c r="Y52" s="3"/>
      <c r="Z52" s="3"/>
      <c r="AA52" s="3"/>
    </row>
    <row r="53" ht="15.75" customHeight="1">
      <c r="A53" s="603"/>
      <c r="B53" s="3"/>
      <c r="C53" s="578"/>
      <c r="D53" s="583">
        <v>500.0</v>
      </c>
      <c r="E53" s="588">
        <f t="shared" si="32"/>
        <v>40187865.95</v>
      </c>
      <c r="F53" s="588">
        <f>$S$53</f>
        <v>46216045.84</v>
      </c>
      <c r="G53" s="588">
        <f t="shared" si="33"/>
        <v>50837650.43</v>
      </c>
      <c r="H53" s="3"/>
      <c r="I53" s="3"/>
      <c r="J53" s="3">
        <v>2.0</v>
      </c>
      <c r="K53" s="3">
        <f t="shared" si="34"/>
        <v>250</v>
      </c>
      <c r="L53" s="277">
        <f>Bajadas!E8</f>
        <v>184733.0591</v>
      </c>
      <c r="M53" s="107">
        <f t="shared" si="35"/>
        <v>46183264.77</v>
      </c>
      <c r="N53" s="107">
        <v>600.0</v>
      </c>
      <c r="O53" s="107">
        <v>500.0</v>
      </c>
      <c r="P53" s="107">
        <f t="shared" si="39"/>
        <v>31681.07879</v>
      </c>
      <c r="Q53" s="123">
        <f t="shared" si="36"/>
        <v>126.7243151</v>
      </c>
      <c r="R53" s="392">
        <f t="shared" si="37"/>
        <v>46216045.84</v>
      </c>
      <c r="S53" s="123">
        <f t="shared" si="38"/>
        <v>46216045.84</v>
      </c>
      <c r="T53" s="3"/>
      <c r="U53" s="3"/>
      <c r="V53" s="3"/>
      <c r="W53" s="3"/>
      <c r="X53" s="3"/>
      <c r="Y53" s="3"/>
      <c r="Z53" s="3"/>
      <c r="AA53" s="3"/>
    </row>
    <row r="54" ht="15.75" customHeight="1">
      <c r="A54" s="603"/>
      <c r="B54" s="3"/>
      <c r="C54" s="585"/>
      <c r="D54" s="586">
        <v>1000.0</v>
      </c>
      <c r="E54" s="588">
        <f t="shared" si="32"/>
        <v>77786120.29</v>
      </c>
      <c r="F54" s="588">
        <f>$S$54</f>
        <v>89454038.34</v>
      </c>
      <c r="G54" s="588">
        <f t="shared" si="33"/>
        <v>98399442.17</v>
      </c>
      <c r="H54" s="3"/>
      <c r="I54" s="3" t="s">
        <v>645</v>
      </c>
      <c r="J54" s="3">
        <v>2.0</v>
      </c>
      <c r="K54" s="3">
        <f t="shared" si="34"/>
        <v>500</v>
      </c>
      <c r="L54" s="277">
        <f>Bajadas!E9</f>
        <v>178773.9281</v>
      </c>
      <c r="M54" s="107">
        <f t="shared" si="35"/>
        <v>89386964.06</v>
      </c>
      <c r="N54" s="107">
        <v>800.0</v>
      </c>
      <c r="O54" s="107">
        <v>7000.0</v>
      </c>
      <c r="P54" s="107">
        <f t="shared" si="39"/>
        <v>59274.27644</v>
      </c>
      <c r="Q54" s="123">
        <f t="shared" si="36"/>
        <v>118.5485529</v>
      </c>
      <c r="R54" s="392">
        <f t="shared" si="37"/>
        <v>89454038.34</v>
      </c>
      <c r="S54" s="123">
        <f t="shared" si="38"/>
        <v>89454038.34</v>
      </c>
      <c r="T54" s="3"/>
      <c r="U54" s="3"/>
      <c r="V54" s="3"/>
      <c r="W54" s="3"/>
      <c r="X54" s="3"/>
      <c r="Y54" s="3"/>
      <c r="Z54" s="3"/>
      <c r="AA54" s="3"/>
    </row>
    <row r="55" ht="15.75" customHeight="1">
      <c r="A55" s="135"/>
      <c r="B55" s="3"/>
      <c r="C55" s="613"/>
      <c r="D55" s="569"/>
      <c r="E55" s="614"/>
      <c r="F55" s="614"/>
      <c r="G55" s="614"/>
      <c r="H55" s="3"/>
      <c r="I55" s="3"/>
      <c r="J55" s="3"/>
      <c r="K55" s="3"/>
      <c r="L55" s="3"/>
      <c r="M55" s="107"/>
      <c r="N55" s="107"/>
      <c r="O55" s="107"/>
      <c r="P55" s="107"/>
      <c r="Q55" s="123"/>
      <c r="R55" s="392"/>
      <c r="S55" s="12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 t="s">
        <v>659</v>
      </c>
      <c r="D56" s="3"/>
      <c r="E56" s="611" t="s">
        <v>637</v>
      </c>
      <c r="F56" s="611" t="s">
        <v>638</v>
      </c>
      <c r="G56" s="612" t="s">
        <v>633</v>
      </c>
      <c r="H56" s="3"/>
      <c r="I56" s="3" t="s">
        <v>639</v>
      </c>
      <c r="J56" s="569" t="s">
        <v>640</v>
      </c>
      <c r="K56" s="569" t="s">
        <v>353</v>
      </c>
      <c r="L56" s="569" t="s">
        <v>641</v>
      </c>
      <c r="M56" s="569" t="s">
        <v>361</v>
      </c>
      <c r="N56" s="569" t="s">
        <v>98</v>
      </c>
      <c r="O56" s="569" t="s">
        <v>367</v>
      </c>
      <c r="P56" s="569" t="s">
        <v>642</v>
      </c>
      <c r="Q56" s="569" t="s">
        <v>643</v>
      </c>
      <c r="R56" s="569" t="s">
        <v>258</v>
      </c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>
        <v>16.0</v>
      </c>
      <c r="B57" s="3">
        <v>28.0</v>
      </c>
      <c r="C57" s="3">
        <f>A57*B57</f>
        <v>448</v>
      </c>
      <c r="D57" s="570" t="s">
        <v>104</v>
      </c>
      <c r="E57" s="571" t="s">
        <v>10</v>
      </c>
      <c r="F57" s="571" t="s">
        <v>467</v>
      </c>
      <c r="G57" s="572" t="s">
        <v>10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603" t="s">
        <v>658</v>
      </c>
      <c r="B58" s="3"/>
      <c r="C58" s="574" t="s">
        <v>523</v>
      </c>
      <c r="D58" s="575"/>
      <c r="E58" s="576">
        <v>292.8</v>
      </c>
      <c r="F58" s="577">
        <v>318.07</v>
      </c>
      <c r="G58" s="577">
        <v>362.0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603"/>
      <c r="B59" s="3"/>
      <c r="C59" s="578"/>
      <c r="D59" s="579"/>
      <c r="E59" s="580">
        <v>464.0</v>
      </c>
      <c r="F59" s="581">
        <v>507.0</v>
      </c>
      <c r="G59" s="582">
        <v>561.56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603"/>
      <c r="B60" s="3">
        <v>3000.0</v>
      </c>
      <c r="C60" s="578"/>
      <c r="D60" s="583">
        <v>500.0</v>
      </c>
      <c r="E60" s="584">
        <f>C57*E58+B60</f>
        <v>134174.4</v>
      </c>
      <c r="F60" s="584">
        <f>C57*F58+B60</f>
        <v>145495.36</v>
      </c>
      <c r="G60" s="584">
        <f>C57*G58+B60</f>
        <v>165176</v>
      </c>
      <c r="H60" s="3"/>
      <c r="I60" s="3" t="s">
        <v>645</v>
      </c>
      <c r="J60" s="3"/>
      <c r="K60" s="3"/>
      <c r="L60" s="3"/>
      <c r="M60" s="3"/>
      <c r="N60" s="3"/>
      <c r="O60" s="3" t="s">
        <v>646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603"/>
      <c r="B61" s="3">
        <v>5000.0</v>
      </c>
      <c r="C61" s="585"/>
      <c r="D61" s="586">
        <v>1000.0</v>
      </c>
      <c r="E61" s="584">
        <f>C57*E59+B61</f>
        <v>212872</v>
      </c>
      <c r="F61" s="584">
        <f>C57*F59+B61</f>
        <v>232136</v>
      </c>
      <c r="G61" s="584">
        <f>C57*G59+B61</f>
        <v>256578.88</v>
      </c>
      <c r="H61" s="3"/>
      <c r="I61" s="3" t="s">
        <v>645</v>
      </c>
      <c r="J61" s="3"/>
      <c r="K61" s="3"/>
      <c r="L61" s="3"/>
      <c r="M61" s="3"/>
      <c r="N61" s="3"/>
      <c r="O61" s="3">
        <v>60.0</v>
      </c>
      <c r="P61" s="3"/>
      <c r="Q61" s="3"/>
      <c r="R61" s="3"/>
      <c r="S61" s="3">
        <v>1.0</v>
      </c>
      <c r="T61" s="3"/>
      <c r="U61" s="3"/>
      <c r="V61" s="3"/>
      <c r="W61" s="3"/>
      <c r="X61" s="3"/>
      <c r="Y61" s="3"/>
      <c r="Z61" s="3"/>
      <c r="AA61" s="3"/>
    </row>
    <row r="62" ht="15.75" customHeight="1">
      <c r="A62" s="603"/>
      <c r="B62" s="3"/>
      <c r="C62" s="574" t="s">
        <v>647</v>
      </c>
      <c r="D62" s="587">
        <v>100.0</v>
      </c>
      <c r="E62" s="588">
        <f t="shared" ref="E62:E65" si="40">F62/1.15</f>
        <v>8559416.197</v>
      </c>
      <c r="F62" s="588">
        <f>$S$62</f>
        <v>9843328.627</v>
      </c>
      <c r="G62" s="588">
        <f t="shared" ref="G62:G65" si="41">F62*1.1</f>
        <v>10827661.49</v>
      </c>
      <c r="H62" s="3"/>
      <c r="I62" s="3"/>
      <c r="J62" s="3">
        <v>2.0</v>
      </c>
      <c r="K62" s="3">
        <f t="shared" ref="K62:K65" si="42">D62/J62</f>
        <v>50</v>
      </c>
      <c r="L62" s="277">
        <f>Bajadas!E6</f>
        <v>196651.3209</v>
      </c>
      <c r="M62" s="107">
        <f t="shared" ref="M62:M65" si="43">L62*K62</f>
        <v>9832566.047</v>
      </c>
      <c r="N62" s="107">
        <v>200.0</v>
      </c>
      <c r="O62" s="107">
        <f>K62*O61</f>
        <v>3000</v>
      </c>
      <c r="P62" s="107">
        <f t="shared" ref="P62:P65" si="44">Q40*K62</f>
        <v>7562.580097</v>
      </c>
      <c r="Q62" s="123" t="str">
        <f>Laminado!C52</f>
        <v/>
      </c>
      <c r="R62" s="392">
        <f t="shared" ref="R62:R65" si="45">SUM(M62:P62)</f>
        <v>9843328.627</v>
      </c>
      <c r="S62" s="123">
        <f t="shared" ref="S62:S65" si="46">R62*$S$6</f>
        <v>9843328.627</v>
      </c>
      <c r="T62" s="3"/>
      <c r="U62" s="3"/>
      <c r="V62" s="3"/>
      <c r="W62" s="3"/>
      <c r="X62" s="3"/>
      <c r="Y62" s="3"/>
      <c r="Z62" s="3"/>
      <c r="AA62" s="3"/>
    </row>
    <row r="63" ht="15.75" customHeight="1">
      <c r="A63" s="603"/>
      <c r="B63" s="3"/>
      <c r="C63" s="578"/>
      <c r="D63" s="587">
        <v>300.0</v>
      </c>
      <c r="E63" s="588">
        <f t="shared" si="40"/>
        <v>24891805.82</v>
      </c>
      <c r="F63" s="588">
        <f>$S$63</f>
        <v>28625576.69</v>
      </c>
      <c r="G63" s="588">
        <f t="shared" si="41"/>
        <v>31488134.36</v>
      </c>
      <c r="H63" s="3"/>
      <c r="I63" s="3" t="s">
        <v>645</v>
      </c>
      <c r="J63" s="3">
        <v>2.0</v>
      </c>
      <c r="K63" s="3">
        <f t="shared" si="42"/>
        <v>150</v>
      </c>
      <c r="L63" s="277">
        <f>Bajadas!E7</f>
        <v>190692.19</v>
      </c>
      <c r="M63" s="107">
        <f t="shared" si="43"/>
        <v>28603828.5</v>
      </c>
      <c r="N63" s="107">
        <v>400.0</v>
      </c>
      <c r="O63" s="107">
        <v>500.0</v>
      </c>
      <c r="P63" s="107">
        <f t="shared" si="44"/>
        <v>20848.19378</v>
      </c>
      <c r="Q63" s="123" t="str">
        <f>Laminado!C53</f>
        <v/>
      </c>
      <c r="R63" s="392">
        <f t="shared" si="45"/>
        <v>28625576.69</v>
      </c>
      <c r="S63" s="123">
        <f t="shared" si="46"/>
        <v>28625576.69</v>
      </c>
      <c r="T63" s="3"/>
      <c r="U63" s="3"/>
      <c r="V63" s="3"/>
      <c r="W63" s="3"/>
      <c r="X63" s="3"/>
      <c r="Y63" s="3"/>
      <c r="Z63" s="3"/>
      <c r="AA63" s="3"/>
    </row>
    <row r="64" ht="15.75" customHeight="1">
      <c r="A64" s="603"/>
      <c r="B64" s="3"/>
      <c r="C64" s="578"/>
      <c r="D64" s="583">
        <v>500.0</v>
      </c>
      <c r="E64" s="588">
        <f t="shared" si="40"/>
        <v>40187865.95</v>
      </c>
      <c r="F64" s="588">
        <f>$S$64</f>
        <v>46216045.84</v>
      </c>
      <c r="G64" s="588">
        <f t="shared" si="41"/>
        <v>50837650.43</v>
      </c>
      <c r="H64" s="3"/>
      <c r="I64" s="3"/>
      <c r="J64" s="3">
        <v>2.0</v>
      </c>
      <c r="K64" s="3">
        <f t="shared" si="42"/>
        <v>250</v>
      </c>
      <c r="L64" s="277">
        <f>Bajadas!E8</f>
        <v>184733.0591</v>
      </c>
      <c r="M64" s="107">
        <f t="shared" si="43"/>
        <v>46183264.77</v>
      </c>
      <c r="N64" s="107">
        <v>600.0</v>
      </c>
      <c r="O64" s="107">
        <v>500.0</v>
      </c>
      <c r="P64" s="107">
        <f t="shared" si="44"/>
        <v>31681.07879</v>
      </c>
      <c r="Q64" s="123" t="str">
        <f>Laminado!C54</f>
        <v/>
      </c>
      <c r="R64" s="392">
        <f t="shared" si="45"/>
        <v>46216045.84</v>
      </c>
      <c r="S64" s="123">
        <f t="shared" si="46"/>
        <v>46216045.84</v>
      </c>
      <c r="T64" s="3"/>
      <c r="U64" s="3"/>
      <c r="V64" s="3"/>
      <c r="W64" s="3"/>
      <c r="X64" s="3"/>
      <c r="Y64" s="3"/>
      <c r="Z64" s="3"/>
      <c r="AA64" s="3"/>
    </row>
    <row r="65" ht="15.75" customHeight="1">
      <c r="A65" s="603"/>
      <c r="B65" s="3"/>
      <c r="C65" s="585"/>
      <c r="D65" s="586">
        <v>1000.0</v>
      </c>
      <c r="E65" s="588">
        <f t="shared" si="40"/>
        <v>77786120.29</v>
      </c>
      <c r="F65" s="588">
        <f>$S$65</f>
        <v>89454038.34</v>
      </c>
      <c r="G65" s="588">
        <f t="shared" si="41"/>
        <v>98399442.17</v>
      </c>
      <c r="H65" s="3"/>
      <c r="I65" s="3" t="s">
        <v>645</v>
      </c>
      <c r="J65" s="3">
        <v>2.0</v>
      </c>
      <c r="K65" s="3">
        <f t="shared" si="42"/>
        <v>500</v>
      </c>
      <c r="L65" s="277">
        <f>Bajadas!E9</f>
        <v>178773.9281</v>
      </c>
      <c r="M65" s="107">
        <f t="shared" si="43"/>
        <v>89386964.06</v>
      </c>
      <c r="N65" s="107">
        <v>800.0</v>
      </c>
      <c r="O65" s="107">
        <v>7000.0</v>
      </c>
      <c r="P65" s="107">
        <f t="shared" si="44"/>
        <v>59274.27644</v>
      </c>
      <c r="Q65" s="123" t="str">
        <f>Laminado!C55</f>
        <v/>
      </c>
      <c r="R65" s="392">
        <f t="shared" si="45"/>
        <v>89454038.34</v>
      </c>
      <c r="S65" s="123">
        <f t="shared" si="46"/>
        <v>89454038.34</v>
      </c>
      <c r="T65" s="3"/>
      <c r="U65" s="3"/>
      <c r="V65" s="3"/>
      <c r="W65" s="3"/>
      <c r="X65" s="3"/>
      <c r="Y65" s="3"/>
      <c r="Z65" s="3"/>
      <c r="AA65" s="3"/>
    </row>
    <row r="66" ht="15.75" customHeight="1">
      <c r="A66" s="135"/>
      <c r="B66" s="3"/>
      <c r="C66" s="613"/>
      <c r="D66" s="569"/>
      <c r="E66" s="614"/>
      <c r="F66" s="614"/>
      <c r="G66" s="614"/>
      <c r="H66" s="3"/>
      <c r="I66" s="3"/>
      <c r="J66" s="3"/>
      <c r="K66" s="3"/>
      <c r="L66" s="3"/>
      <c r="M66" s="107"/>
      <c r="N66" s="107"/>
      <c r="O66" s="107"/>
      <c r="P66" s="107"/>
      <c r="Q66" s="123"/>
      <c r="R66" s="392"/>
      <c r="S66" s="12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35"/>
      <c r="B67" s="3"/>
      <c r="C67" s="613"/>
      <c r="D67" s="569"/>
      <c r="E67" s="614"/>
      <c r="F67" s="614"/>
      <c r="G67" s="614"/>
      <c r="H67" s="3"/>
      <c r="I67" s="3"/>
      <c r="J67" s="3"/>
      <c r="K67" s="3"/>
      <c r="L67" s="3"/>
      <c r="M67" s="107"/>
      <c r="N67" s="107"/>
      <c r="O67" s="107"/>
      <c r="P67" s="107"/>
      <c r="Q67" s="123"/>
      <c r="R67" s="392"/>
      <c r="S67" s="12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611" t="s">
        <v>637</v>
      </c>
      <c r="F68" s="611" t="s">
        <v>638</v>
      </c>
      <c r="G68" s="612" t="s">
        <v>633</v>
      </c>
      <c r="H68" s="3"/>
      <c r="I68" s="3" t="s">
        <v>639</v>
      </c>
      <c r="J68" s="569" t="s">
        <v>640</v>
      </c>
      <c r="K68" s="569" t="s">
        <v>353</v>
      </c>
      <c r="L68" s="569" t="s">
        <v>641</v>
      </c>
      <c r="M68" s="569" t="s">
        <v>361</v>
      </c>
      <c r="N68" s="569" t="s">
        <v>98</v>
      </c>
      <c r="O68" s="569" t="s">
        <v>367</v>
      </c>
      <c r="P68" s="569" t="s">
        <v>642</v>
      </c>
      <c r="Q68" s="569" t="s">
        <v>643</v>
      </c>
      <c r="R68" s="569" t="s">
        <v>258</v>
      </c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>
        <v>6.5</v>
      </c>
      <c r="B69" s="3">
        <v>9.5</v>
      </c>
      <c r="C69" s="3">
        <f>A69*B69</f>
        <v>61.75</v>
      </c>
      <c r="D69" s="570" t="s">
        <v>104</v>
      </c>
      <c r="E69" s="571" t="s">
        <v>10</v>
      </c>
      <c r="F69" s="571" t="s">
        <v>467</v>
      </c>
      <c r="G69" s="572" t="s">
        <v>10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603" t="s">
        <v>660</v>
      </c>
      <c r="B70" s="3"/>
      <c r="C70" s="574" t="s">
        <v>523</v>
      </c>
      <c r="D70" s="575"/>
      <c r="E70" s="576">
        <v>292.8</v>
      </c>
      <c r="F70" s="577">
        <v>318.07</v>
      </c>
      <c r="G70" s="577">
        <v>362.0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603"/>
      <c r="B71" s="3"/>
      <c r="C71" s="578"/>
      <c r="D71" s="579"/>
      <c r="E71" s="580">
        <v>464.0</v>
      </c>
      <c r="F71" s="581">
        <v>507.0</v>
      </c>
      <c r="G71" s="582">
        <v>561.56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603"/>
      <c r="B72" s="3">
        <v>800.0</v>
      </c>
      <c r="C72" s="578"/>
      <c r="D72" s="583">
        <v>500.0</v>
      </c>
      <c r="E72" s="584">
        <f>C69*E70+B72</f>
        <v>18880.4</v>
      </c>
      <c r="F72" s="584">
        <f>C69*F70+B72</f>
        <v>20440.8225</v>
      </c>
      <c r="G72" s="584">
        <f>C69*G70+B72</f>
        <v>23153.5</v>
      </c>
      <c r="H72" s="3"/>
      <c r="I72" s="3" t="s">
        <v>645</v>
      </c>
      <c r="J72" s="3"/>
      <c r="K72" s="3"/>
      <c r="L72" s="3"/>
      <c r="M72" s="3"/>
      <c r="N72" s="3"/>
      <c r="O72" s="3" t="s">
        <v>646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603"/>
      <c r="B73" s="3">
        <v>1500.0</v>
      </c>
      <c r="C73" s="585"/>
      <c r="D73" s="586">
        <v>1000.0</v>
      </c>
      <c r="E73" s="584">
        <f>C69*E71+B73</f>
        <v>30152</v>
      </c>
      <c r="F73" s="584">
        <f>C69*F71+B73</f>
        <v>32807.25</v>
      </c>
      <c r="G73" s="584">
        <f>C69*G71+B73</f>
        <v>36176.33</v>
      </c>
      <c r="H73" s="3"/>
      <c r="I73" s="3" t="s">
        <v>645</v>
      </c>
      <c r="J73" s="3"/>
      <c r="K73" s="3"/>
      <c r="L73" s="3"/>
      <c r="M73" s="3"/>
      <c r="N73" s="3"/>
      <c r="O73" s="3">
        <v>10.0</v>
      </c>
      <c r="P73" s="3"/>
      <c r="Q73" s="3"/>
      <c r="R73" s="3"/>
      <c r="S73" s="3">
        <v>1.0</v>
      </c>
      <c r="T73" s="3"/>
      <c r="U73" s="3"/>
      <c r="V73" s="3"/>
      <c r="W73" s="3"/>
      <c r="X73" s="3"/>
      <c r="Y73" s="3"/>
      <c r="Z73" s="3"/>
      <c r="AA73" s="3"/>
    </row>
    <row r="74" ht="15.75" customHeight="1">
      <c r="A74" s="603"/>
      <c r="B74" s="3"/>
      <c r="C74" s="574" t="s">
        <v>647</v>
      </c>
      <c r="D74" s="587">
        <v>100.0</v>
      </c>
      <c r="E74" s="588">
        <f t="shared" ref="E74:E77" si="47">F74/1.15</f>
        <v>1027022.118</v>
      </c>
      <c r="F74" s="588">
        <f>$S$74</f>
        <v>1181075.435</v>
      </c>
      <c r="G74" s="588">
        <f t="shared" ref="G74:G77" si="48">F74*1.1</f>
        <v>1299182.979</v>
      </c>
      <c r="H74" s="3"/>
      <c r="I74" s="3"/>
      <c r="J74" s="3">
        <v>18.0</v>
      </c>
      <c r="K74" s="123">
        <v>6.0</v>
      </c>
      <c r="L74" s="277">
        <f>Bajadas!E6</f>
        <v>196651.3209</v>
      </c>
      <c r="M74" s="107">
        <f t="shared" ref="M74:M77" si="49">L74*K74</f>
        <v>1179907.926</v>
      </c>
      <c r="N74" s="107">
        <v>200.0</v>
      </c>
      <c r="O74" s="107">
        <f>K74*O73</f>
        <v>60</v>
      </c>
      <c r="P74" s="107">
        <f t="shared" ref="P74:P77" si="50">Q74*K74</f>
        <v>907.5096117</v>
      </c>
      <c r="Q74" s="123">
        <f t="shared" ref="Q74:Q77" si="51">Q51</f>
        <v>151.2516019</v>
      </c>
      <c r="R74" s="392">
        <f t="shared" ref="R74:R77" si="52">SUM(M74:P74)</f>
        <v>1181075.435</v>
      </c>
      <c r="S74" s="123">
        <f t="shared" ref="S74:S77" si="53">R74*$S$6</f>
        <v>1181075.435</v>
      </c>
      <c r="T74" s="3"/>
      <c r="U74" s="3"/>
      <c r="V74" s="3"/>
      <c r="W74" s="3"/>
      <c r="X74" s="3"/>
      <c r="Y74" s="3"/>
      <c r="Z74" s="3"/>
      <c r="AA74" s="3"/>
    </row>
    <row r="75" ht="15.75" customHeight="1">
      <c r="A75" s="603"/>
      <c r="B75" s="3"/>
      <c r="C75" s="578"/>
      <c r="D75" s="587">
        <v>300.0</v>
      </c>
      <c r="E75" s="588">
        <f t="shared" si="47"/>
        <v>2821478.283</v>
      </c>
      <c r="F75" s="588">
        <f>$S$75</f>
        <v>3244700.025</v>
      </c>
      <c r="G75" s="588">
        <f t="shared" si="48"/>
        <v>3569170.028</v>
      </c>
      <c r="H75" s="3"/>
      <c r="I75" s="3" t="s">
        <v>645</v>
      </c>
      <c r="J75" s="3">
        <v>18.0</v>
      </c>
      <c r="K75" s="123">
        <v>17.0</v>
      </c>
      <c r="L75" s="277">
        <f>Bajadas!E7</f>
        <v>190692.19</v>
      </c>
      <c r="M75" s="107">
        <f t="shared" si="49"/>
        <v>3241767.23</v>
      </c>
      <c r="N75" s="107">
        <v>400.0</v>
      </c>
      <c r="O75" s="107">
        <f>K75*O73</f>
        <v>170</v>
      </c>
      <c r="P75" s="107">
        <f t="shared" si="50"/>
        <v>2362.795295</v>
      </c>
      <c r="Q75" s="123">
        <f t="shared" si="51"/>
        <v>138.9879585</v>
      </c>
      <c r="R75" s="392">
        <f t="shared" si="52"/>
        <v>3244700.025</v>
      </c>
      <c r="S75" s="123">
        <f t="shared" si="53"/>
        <v>3244700.025</v>
      </c>
      <c r="T75" s="3"/>
      <c r="U75" s="3"/>
      <c r="V75" s="3"/>
      <c r="W75" s="3"/>
      <c r="X75" s="3"/>
      <c r="Y75" s="3"/>
      <c r="Z75" s="3"/>
      <c r="AA75" s="3"/>
    </row>
    <row r="76" ht="15.75" customHeight="1">
      <c r="A76" s="603"/>
      <c r="B76" s="3"/>
      <c r="C76" s="578"/>
      <c r="D76" s="583">
        <v>500.0</v>
      </c>
      <c r="E76" s="588">
        <f t="shared" si="47"/>
        <v>4501699.074</v>
      </c>
      <c r="F76" s="588">
        <f>$S$76</f>
        <v>5176953.935</v>
      </c>
      <c r="G76" s="588">
        <f t="shared" si="48"/>
        <v>5694649.328</v>
      </c>
      <c r="H76" s="3"/>
      <c r="I76" s="3"/>
      <c r="J76" s="3">
        <v>18.0</v>
      </c>
      <c r="K76" s="123">
        <v>28.0</v>
      </c>
      <c r="L76" s="277">
        <f>Bajadas!E8</f>
        <v>184733.0591</v>
      </c>
      <c r="M76" s="107">
        <f t="shared" si="49"/>
        <v>5172525.654</v>
      </c>
      <c r="N76" s="107">
        <v>600.0</v>
      </c>
      <c r="O76" s="107">
        <f>K76*O73</f>
        <v>280</v>
      </c>
      <c r="P76" s="107">
        <f t="shared" si="50"/>
        <v>3548.280824</v>
      </c>
      <c r="Q76" s="123">
        <f t="shared" si="51"/>
        <v>126.7243151</v>
      </c>
      <c r="R76" s="392">
        <f t="shared" si="52"/>
        <v>5176953.935</v>
      </c>
      <c r="S76" s="123">
        <f t="shared" si="53"/>
        <v>5176953.935</v>
      </c>
      <c r="T76" s="3"/>
      <c r="U76" s="3"/>
      <c r="V76" s="3"/>
      <c r="W76" s="3"/>
      <c r="X76" s="3"/>
      <c r="Y76" s="3"/>
      <c r="Z76" s="3"/>
      <c r="AA76" s="3"/>
    </row>
    <row r="77" ht="15.75" customHeight="1">
      <c r="A77" s="603"/>
      <c r="B77" s="3"/>
      <c r="C77" s="585"/>
      <c r="D77" s="586">
        <v>1000.0</v>
      </c>
      <c r="E77" s="588">
        <f t="shared" si="47"/>
        <v>8712468.43</v>
      </c>
      <c r="F77" s="588">
        <f>$S$77</f>
        <v>10019338.69</v>
      </c>
      <c r="G77" s="588">
        <f t="shared" si="48"/>
        <v>11021272.56</v>
      </c>
      <c r="H77" s="3"/>
      <c r="I77" s="3" t="s">
        <v>645</v>
      </c>
      <c r="J77" s="3">
        <v>18.0</v>
      </c>
      <c r="K77" s="123">
        <v>56.0</v>
      </c>
      <c r="L77" s="277">
        <f>Bajadas!E9</f>
        <v>178773.9281</v>
      </c>
      <c r="M77" s="107">
        <f t="shared" si="49"/>
        <v>10011339.98</v>
      </c>
      <c r="N77" s="107">
        <v>800.0</v>
      </c>
      <c r="O77" s="107">
        <f>K77*O73</f>
        <v>560</v>
      </c>
      <c r="P77" s="107">
        <f t="shared" si="50"/>
        <v>6638.718961</v>
      </c>
      <c r="Q77" s="123">
        <f t="shared" si="51"/>
        <v>118.5485529</v>
      </c>
      <c r="R77" s="392">
        <f t="shared" si="52"/>
        <v>10019338.69</v>
      </c>
      <c r="S77" s="123">
        <f t="shared" si="53"/>
        <v>10019338.69</v>
      </c>
      <c r="T77" s="3"/>
      <c r="U77" s="3"/>
      <c r="V77" s="3"/>
      <c r="W77" s="3"/>
      <c r="X77" s="3"/>
      <c r="Y77" s="3"/>
      <c r="Z77" s="3"/>
      <c r="AA77" s="3"/>
    </row>
    <row r="78" ht="15.75" customHeight="1">
      <c r="A78" s="135"/>
      <c r="B78" s="3"/>
      <c r="C78" s="613"/>
      <c r="D78" s="569"/>
      <c r="E78" s="614"/>
      <c r="F78" s="614"/>
      <c r="G78" s="614"/>
      <c r="H78" s="3"/>
      <c r="I78" s="3"/>
      <c r="J78" s="3"/>
      <c r="K78" s="3"/>
      <c r="L78" s="3"/>
      <c r="M78" s="107"/>
      <c r="N78" s="107"/>
      <c r="O78" s="107"/>
      <c r="P78" s="107"/>
      <c r="Q78" s="123"/>
      <c r="R78" s="392"/>
      <c r="S78" s="12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611" t="s">
        <v>637</v>
      </c>
      <c r="F81" s="611" t="s">
        <v>638</v>
      </c>
      <c r="G81" s="612" t="s">
        <v>633</v>
      </c>
      <c r="H81" s="3"/>
      <c r="I81" s="3" t="s">
        <v>639</v>
      </c>
      <c r="J81" s="569" t="s">
        <v>640</v>
      </c>
      <c r="K81" s="569" t="s">
        <v>353</v>
      </c>
      <c r="L81" s="569" t="s">
        <v>641</v>
      </c>
      <c r="M81" s="569" t="s">
        <v>361</v>
      </c>
      <c r="N81" s="569" t="s">
        <v>98</v>
      </c>
      <c r="O81" s="569" t="s">
        <v>367</v>
      </c>
      <c r="P81" s="569" t="s">
        <v>642</v>
      </c>
      <c r="Q81" s="569" t="s">
        <v>643</v>
      </c>
      <c r="R81" s="569" t="s">
        <v>258</v>
      </c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>
        <v>5.0</v>
      </c>
      <c r="B82" s="3">
        <v>9.0</v>
      </c>
      <c r="C82" s="3">
        <f>A82*B82</f>
        <v>45</v>
      </c>
      <c r="D82" s="570" t="s">
        <v>104</v>
      </c>
      <c r="E82" s="571" t="s">
        <v>10</v>
      </c>
      <c r="F82" s="571" t="s">
        <v>467</v>
      </c>
      <c r="G82" s="572" t="s">
        <v>10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603" t="s">
        <v>660</v>
      </c>
      <c r="B83" s="3"/>
      <c r="C83" s="574" t="s">
        <v>523</v>
      </c>
      <c r="D83" s="575"/>
      <c r="E83" s="576">
        <v>292.8</v>
      </c>
      <c r="F83" s="577">
        <v>318.07</v>
      </c>
      <c r="G83" s="577">
        <v>362.0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603"/>
      <c r="B84" s="3"/>
      <c r="C84" s="578"/>
      <c r="D84" s="579"/>
      <c r="E84" s="580">
        <v>464.0</v>
      </c>
      <c r="F84" s="581">
        <v>507.0</v>
      </c>
      <c r="G84" s="582">
        <v>561.56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603"/>
      <c r="B85" s="3">
        <v>800.0</v>
      </c>
      <c r="C85" s="578"/>
      <c r="D85" s="583">
        <v>500.0</v>
      </c>
      <c r="E85" s="584">
        <f>C82*E83+B85</f>
        <v>13976</v>
      </c>
      <c r="F85" s="584">
        <f>C82*F83+B85</f>
        <v>15113.15</v>
      </c>
      <c r="G85" s="584">
        <f>C82*G83+B85</f>
        <v>17090</v>
      </c>
      <c r="H85" s="3"/>
      <c r="I85" s="3" t="s">
        <v>645</v>
      </c>
      <c r="J85" s="3"/>
      <c r="K85" s="3"/>
      <c r="L85" s="3"/>
      <c r="M85" s="3"/>
      <c r="N85" s="3"/>
      <c r="O85" s="3" t="s">
        <v>646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603"/>
      <c r="B86" s="3">
        <v>1500.0</v>
      </c>
      <c r="C86" s="585"/>
      <c r="D86" s="586">
        <v>1000.0</v>
      </c>
      <c r="E86" s="584">
        <f>C82*E84+B86</f>
        <v>22380</v>
      </c>
      <c r="F86" s="584">
        <f>C82*F84+B86</f>
        <v>24315</v>
      </c>
      <c r="G86" s="584">
        <f>C82*G84+B86</f>
        <v>26770.2</v>
      </c>
      <c r="H86" s="3"/>
      <c r="I86" s="3" t="s">
        <v>645</v>
      </c>
      <c r="J86" s="3"/>
      <c r="K86" s="3"/>
      <c r="L86" s="3"/>
      <c r="M86" s="3"/>
      <c r="N86" s="3"/>
      <c r="O86" s="3">
        <v>10.0</v>
      </c>
      <c r="P86" s="3"/>
      <c r="Q86" s="3"/>
      <c r="R86" s="3"/>
      <c r="S86" s="3">
        <v>1.0</v>
      </c>
      <c r="T86" s="3"/>
      <c r="U86" s="3"/>
      <c r="V86" s="3"/>
      <c r="W86" s="3"/>
      <c r="X86" s="3"/>
      <c r="Y86" s="3"/>
      <c r="Z86" s="3"/>
      <c r="AA86" s="3"/>
    </row>
    <row r="87" ht="15.75" customHeight="1">
      <c r="A87" s="603"/>
      <c r="B87" s="3"/>
      <c r="C87" s="574" t="s">
        <v>647</v>
      </c>
      <c r="D87" s="587">
        <v>100.0</v>
      </c>
      <c r="E87" s="588">
        <f t="shared" ref="E87:E90" si="54">F87/1.15</f>
        <v>855880.7502</v>
      </c>
      <c r="F87" s="588">
        <f>$S$87</f>
        <v>984262.8627</v>
      </c>
      <c r="G87" s="588">
        <f t="shared" ref="G87:G90" si="55">F87*1.1</f>
        <v>1082689.149</v>
      </c>
      <c r="H87" s="3"/>
      <c r="I87" s="3"/>
      <c r="J87" s="3">
        <v>30.0</v>
      </c>
      <c r="K87" s="3">
        <v>5.0</v>
      </c>
      <c r="L87" s="277">
        <f>Bajadas!E6</f>
        <v>196651.3209</v>
      </c>
      <c r="M87" s="107">
        <f t="shared" ref="M87:M90" si="56">L87*K87</f>
        <v>983256.6047</v>
      </c>
      <c r="N87" s="107">
        <v>200.0</v>
      </c>
      <c r="O87" s="107">
        <f>K87*O86</f>
        <v>50</v>
      </c>
      <c r="P87" s="107">
        <f t="shared" ref="P87:P90" si="57">Q87*K87</f>
        <v>756.2580097</v>
      </c>
      <c r="Q87" s="123">
        <f t="shared" ref="Q87:Q90" si="58">Q74</f>
        <v>151.2516019</v>
      </c>
      <c r="R87" s="392">
        <f t="shared" ref="R87:R90" si="59">SUM(M87:P87)</f>
        <v>984262.8627</v>
      </c>
      <c r="S87" s="123">
        <f t="shared" ref="S87:S90" si="60">R87*$S$6</f>
        <v>984262.8627</v>
      </c>
      <c r="T87" s="3"/>
      <c r="U87" s="3"/>
      <c r="V87" s="3"/>
      <c r="W87" s="3"/>
      <c r="X87" s="3"/>
      <c r="Y87" s="3"/>
      <c r="Z87" s="3"/>
      <c r="AA87" s="3"/>
    </row>
    <row r="88" ht="15.75" customHeight="1">
      <c r="A88" s="603"/>
      <c r="B88" s="3"/>
      <c r="C88" s="578"/>
      <c r="D88" s="587">
        <v>300.0</v>
      </c>
      <c r="E88" s="588">
        <f t="shared" si="54"/>
        <v>1825785.18</v>
      </c>
      <c r="F88" s="588">
        <f>$S$88</f>
        <v>2099652.958</v>
      </c>
      <c r="G88" s="588">
        <f t="shared" si="55"/>
        <v>2309618.253</v>
      </c>
      <c r="H88" s="3"/>
      <c r="I88" s="3" t="s">
        <v>645</v>
      </c>
      <c r="J88" s="3">
        <v>30.0</v>
      </c>
      <c r="K88" s="3">
        <v>11.0</v>
      </c>
      <c r="L88" s="277">
        <f>Bajadas!E7</f>
        <v>190692.19</v>
      </c>
      <c r="M88" s="107">
        <f t="shared" si="56"/>
        <v>2097614.09</v>
      </c>
      <c r="N88" s="107">
        <v>400.0</v>
      </c>
      <c r="O88" s="107">
        <f>K88*O86</f>
        <v>110</v>
      </c>
      <c r="P88" s="107">
        <f t="shared" si="57"/>
        <v>1528.867544</v>
      </c>
      <c r="Q88" s="123">
        <f t="shared" si="58"/>
        <v>138.9879585</v>
      </c>
      <c r="R88" s="392">
        <f t="shared" si="59"/>
        <v>2099652.958</v>
      </c>
      <c r="S88" s="123">
        <f t="shared" si="60"/>
        <v>2099652.958</v>
      </c>
      <c r="T88" s="3"/>
      <c r="U88" s="3"/>
      <c r="V88" s="3"/>
      <c r="W88" s="3"/>
      <c r="X88" s="3"/>
      <c r="Y88" s="3"/>
      <c r="Z88" s="3"/>
      <c r="AA88" s="3"/>
    </row>
    <row r="89" ht="15.75" customHeight="1">
      <c r="A89" s="603"/>
      <c r="B89" s="3"/>
      <c r="C89" s="578"/>
      <c r="D89" s="583">
        <v>500.0</v>
      </c>
      <c r="E89" s="588">
        <f t="shared" si="54"/>
        <v>2733379.406</v>
      </c>
      <c r="F89" s="588">
        <f>$S$89</f>
        <v>3143386.317</v>
      </c>
      <c r="G89" s="588">
        <f t="shared" si="55"/>
        <v>3457724.949</v>
      </c>
      <c r="H89" s="3"/>
      <c r="I89" s="3"/>
      <c r="J89" s="3">
        <v>30.0</v>
      </c>
      <c r="K89" s="3">
        <v>17.0</v>
      </c>
      <c r="L89" s="277">
        <f>Bajadas!E8</f>
        <v>184733.0591</v>
      </c>
      <c r="M89" s="107">
        <f t="shared" si="56"/>
        <v>3140462.004</v>
      </c>
      <c r="N89" s="107">
        <v>600.0</v>
      </c>
      <c r="O89" s="107">
        <f>K89*O86</f>
        <v>170</v>
      </c>
      <c r="P89" s="107">
        <f t="shared" si="57"/>
        <v>2154.313357</v>
      </c>
      <c r="Q89" s="123">
        <f t="shared" si="58"/>
        <v>126.7243151</v>
      </c>
      <c r="R89" s="392">
        <f t="shared" si="59"/>
        <v>3143386.317</v>
      </c>
      <c r="S89" s="123">
        <f t="shared" si="60"/>
        <v>3143386.317</v>
      </c>
      <c r="T89" s="3"/>
      <c r="U89" s="3"/>
      <c r="V89" s="3"/>
      <c r="W89" s="3"/>
      <c r="X89" s="3"/>
      <c r="Y89" s="3"/>
      <c r="Z89" s="3"/>
      <c r="AA89" s="3"/>
    </row>
    <row r="90" ht="15.75" customHeight="1">
      <c r="A90" s="603"/>
      <c r="B90" s="3"/>
      <c r="C90" s="585"/>
      <c r="D90" s="586">
        <v>1000.0</v>
      </c>
      <c r="E90" s="588">
        <f t="shared" si="54"/>
        <v>5289986.267</v>
      </c>
      <c r="F90" s="588">
        <f>$S$90</f>
        <v>6083484.207</v>
      </c>
      <c r="G90" s="588">
        <f t="shared" si="55"/>
        <v>6691832.628</v>
      </c>
      <c r="H90" s="3"/>
      <c r="I90" s="3" t="s">
        <v>645</v>
      </c>
      <c r="J90" s="3">
        <v>30.0</v>
      </c>
      <c r="K90" s="3">
        <v>34.0</v>
      </c>
      <c r="L90" s="277">
        <f>Bajadas!E9</f>
        <v>178773.9281</v>
      </c>
      <c r="M90" s="107">
        <f t="shared" si="56"/>
        <v>6078313.556</v>
      </c>
      <c r="N90" s="107">
        <v>800.0</v>
      </c>
      <c r="O90" s="107">
        <f>K90*O86</f>
        <v>340</v>
      </c>
      <c r="P90" s="107">
        <f t="shared" si="57"/>
        <v>4030.650798</v>
      </c>
      <c r="Q90" s="123">
        <f t="shared" si="58"/>
        <v>118.5485529</v>
      </c>
      <c r="R90" s="392">
        <f t="shared" si="59"/>
        <v>6083484.207</v>
      </c>
      <c r="S90" s="123">
        <f t="shared" si="60"/>
        <v>6083484.207</v>
      </c>
      <c r="T90" s="3"/>
      <c r="U90" s="3"/>
      <c r="V90" s="3"/>
      <c r="W90" s="3"/>
      <c r="X90" s="3"/>
      <c r="Y90" s="3"/>
      <c r="Z90" s="3"/>
      <c r="AA90" s="3"/>
    </row>
    <row r="91" ht="15.75" customHeight="1">
      <c r="A91" s="135"/>
      <c r="B91" s="3"/>
      <c r="C91" s="613"/>
      <c r="D91" s="569"/>
      <c r="E91" s="614"/>
      <c r="F91" s="614"/>
      <c r="G91" s="614"/>
      <c r="H91" s="3"/>
      <c r="I91" s="3"/>
      <c r="J91" s="3"/>
      <c r="K91" s="123"/>
      <c r="L91" s="3"/>
      <c r="M91" s="107"/>
      <c r="N91" s="107"/>
      <c r="O91" s="107"/>
      <c r="P91" s="107"/>
      <c r="Q91" s="123"/>
      <c r="R91" s="392"/>
      <c r="S91" s="12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 t="s">
        <v>661</v>
      </c>
      <c r="D92" s="3"/>
      <c r="E92" s="567" t="s">
        <v>637</v>
      </c>
      <c r="F92" s="567" t="s">
        <v>638</v>
      </c>
      <c r="G92" s="568" t="s">
        <v>633</v>
      </c>
      <c r="H92" s="3"/>
      <c r="I92" s="3" t="s">
        <v>639</v>
      </c>
      <c r="J92" s="569" t="s">
        <v>640</v>
      </c>
      <c r="K92" s="569" t="s">
        <v>353</v>
      </c>
      <c r="L92" s="569" t="s">
        <v>641</v>
      </c>
      <c r="M92" s="569" t="s">
        <v>361</v>
      </c>
      <c r="N92" s="569" t="s">
        <v>98</v>
      </c>
      <c r="O92" s="569" t="s">
        <v>367</v>
      </c>
      <c r="P92" s="569" t="s">
        <v>642</v>
      </c>
      <c r="Q92" s="569" t="s">
        <v>643</v>
      </c>
      <c r="R92" s="569" t="s">
        <v>258</v>
      </c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>
        <v>5.0</v>
      </c>
      <c r="B93" s="3">
        <v>20.0</v>
      </c>
      <c r="C93" s="3">
        <f>A93*B93</f>
        <v>100</v>
      </c>
      <c r="D93" s="570" t="s">
        <v>104</v>
      </c>
      <c r="E93" s="571" t="s">
        <v>467</v>
      </c>
      <c r="F93" s="571" t="s">
        <v>11</v>
      </c>
      <c r="G93" s="572" t="s">
        <v>11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603" t="s">
        <v>662</v>
      </c>
      <c r="B94" s="3"/>
      <c r="C94" s="574" t="s">
        <v>523</v>
      </c>
      <c r="D94" s="575"/>
      <c r="E94" s="576">
        <v>292.8</v>
      </c>
      <c r="F94" s="577">
        <v>318.07</v>
      </c>
      <c r="G94" s="577">
        <v>362.0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603"/>
      <c r="B95" s="3"/>
      <c r="C95" s="578"/>
      <c r="D95" s="579"/>
      <c r="E95" s="580">
        <v>464.0</v>
      </c>
      <c r="F95" s="581">
        <v>507.0</v>
      </c>
      <c r="G95" s="582">
        <v>561.56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603"/>
      <c r="B96" s="3">
        <v>500.0</v>
      </c>
      <c r="C96" s="578"/>
      <c r="D96" s="583">
        <v>500.0</v>
      </c>
      <c r="E96" s="584">
        <f>C93*E94+B96</f>
        <v>29780</v>
      </c>
      <c r="F96" s="584">
        <f>C93*F94+B96</f>
        <v>32307</v>
      </c>
      <c r="G96" s="584">
        <f>C93*G94+B96</f>
        <v>36700</v>
      </c>
      <c r="H96" s="3"/>
      <c r="I96" s="3" t="s">
        <v>645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603"/>
      <c r="B97" s="3">
        <v>700.0</v>
      </c>
      <c r="C97" s="585"/>
      <c r="D97" s="586">
        <v>1000.0</v>
      </c>
      <c r="E97" s="584">
        <f>C93*E95+B97</f>
        <v>47100</v>
      </c>
      <c r="F97" s="584">
        <f>C93*F95+B97</f>
        <v>51400</v>
      </c>
      <c r="G97" s="584">
        <f>C93*G95+B97</f>
        <v>56856</v>
      </c>
      <c r="H97" s="3"/>
      <c r="I97" s="3" t="s">
        <v>645</v>
      </c>
      <c r="J97" s="3"/>
      <c r="K97" s="3"/>
      <c r="L97" s="3"/>
      <c r="M97" s="3"/>
      <c r="N97" s="3"/>
      <c r="O97" s="3"/>
      <c r="P97" s="3"/>
      <c r="Q97" s="3"/>
      <c r="R97" s="3"/>
      <c r="S97" s="3">
        <v>1.1</v>
      </c>
      <c r="T97" s="3"/>
      <c r="U97" s="3"/>
      <c r="V97" s="3"/>
      <c r="W97" s="3"/>
      <c r="X97" s="3"/>
      <c r="Y97" s="3"/>
      <c r="Z97" s="3"/>
      <c r="AA97" s="3"/>
    </row>
    <row r="98" ht="15.75" customHeight="1">
      <c r="A98" s="603"/>
      <c r="B98" s="3"/>
      <c r="C98" s="574" t="s">
        <v>647</v>
      </c>
      <c r="D98" s="587">
        <v>100.0</v>
      </c>
      <c r="E98" s="588">
        <f t="shared" ref="E98:E101" si="61">F98/1.15</f>
        <v>1711544.109</v>
      </c>
      <c r="F98" s="588">
        <f>$S$98</f>
        <v>1968275.725</v>
      </c>
      <c r="G98" s="588">
        <f t="shared" ref="G98:G101" si="62">F98*1.1</f>
        <v>2165103.298</v>
      </c>
      <c r="H98" s="3"/>
      <c r="I98" s="3"/>
      <c r="J98" s="3">
        <v>10.0</v>
      </c>
      <c r="K98" s="3">
        <v>10.0</v>
      </c>
      <c r="L98" s="277">
        <f>Bajadas!E6</f>
        <v>196651.3209</v>
      </c>
      <c r="M98" s="107">
        <f t="shared" ref="M98:M101" si="63">L98*K98</f>
        <v>1966513.209</v>
      </c>
      <c r="N98" s="107">
        <v>100.0</v>
      </c>
      <c r="O98" s="107">
        <v>150.0</v>
      </c>
      <c r="P98" s="107">
        <f t="shared" ref="P98:P101" si="64">Q98*K98</f>
        <v>1512.516019</v>
      </c>
      <c r="Q98" s="123">
        <f t="shared" ref="Q98:Q101" si="65">Q87</f>
        <v>151.2516019</v>
      </c>
      <c r="R98" s="392">
        <f t="shared" ref="R98:R101" si="66">SUM(M98:P98)</f>
        <v>1968275.725</v>
      </c>
      <c r="S98" s="3">
        <f t="shared" ref="S98:S101" si="67">R98*$S$86</f>
        <v>1968275.725</v>
      </c>
      <c r="T98" s="3"/>
      <c r="U98" s="3"/>
      <c r="V98" s="3"/>
      <c r="W98" s="3"/>
      <c r="X98" s="3"/>
      <c r="Y98" s="3"/>
      <c r="Z98" s="3"/>
      <c r="AA98" s="3"/>
    </row>
    <row r="99" ht="15.75" customHeight="1">
      <c r="A99" s="603"/>
      <c r="B99" s="3"/>
      <c r="C99" s="578"/>
      <c r="D99" s="587">
        <v>300.0</v>
      </c>
      <c r="E99" s="588">
        <f t="shared" si="61"/>
        <v>4978726.382</v>
      </c>
      <c r="F99" s="588">
        <f>$S$99</f>
        <v>5725535.339</v>
      </c>
      <c r="G99" s="588">
        <f t="shared" si="62"/>
        <v>6298088.873</v>
      </c>
      <c r="H99" s="3"/>
      <c r="I99" s="3" t="s">
        <v>645</v>
      </c>
      <c r="J99" s="3">
        <v>10.0</v>
      </c>
      <c r="K99" s="3">
        <v>30.0</v>
      </c>
      <c r="L99" s="277">
        <f>Bajadas!E7</f>
        <v>190692.19</v>
      </c>
      <c r="M99" s="107">
        <f t="shared" si="63"/>
        <v>5720765.7</v>
      </c>
      <c r="N99" s="107">
        <v>250.0</v>
      </c>
      <c r="O99" s="107">
        <v>350.0</v>
      </c>
      <c r="P99" s="107">
        <f t="shared" si="64"/>
        <v>4169.638756</v>
      </c>
      <c r="Q99" s="123">
        <f t="shared" si="65"/>
        <v>138.9879585</v>
      </c>
      <c r="R99" s="392">
        <f t="shared" si="66"/>
        <v>5725535.339</v>
      </c>
      <c r="S99" s="3">
        <f t="shared" si="67"/>
        <v>5725535.339</v>
      </c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603"/>
      <c r="B100" s="3"/>
      <c r="C100" s="578"/>
      <c r="D100" s="583">
        <v>500.0</v>
      </c>
      <c r="E100" s="588">
        <f t="shared" si="61"/>
        <v>8038121.016</v>
      </c>
      <c r="F100" s="588">
        <f>$S$100</f>
        <v>9243839.169</v>
      </c>
      <c r="G100" s="588">
        <f t="shared" si="62"/>
        <v>10168223.09</v>
      </c>
      <c r="H100" s="3"/>
      <c r="I100" s="3"/>
      <c r="J100" s="3">
        <v>10.0</v>
      </c>
      <c r="K100" s="3">
        <v>50.0</v>
      </c>
      <c r="L100" s="277">
        <f>Bajadas!E8</f>
        <v>184733.0591</v>
      </c>
      <c r="M100" s="107">
        <f t="shared" si="63"/>
        <v>9236652.953</v>
      </c>
      <c r="N100" s="107">
        <v>350.0</v>
      </c>
      <c r="O100" s="107">
        <v>500.0</v>
      </c>
      <c r="P100" s="107">
        <f t="shared" si="64"/>
        <v>6336.215757</v>
      </c>
      <c r="Q100" s="123">
        <f t="shared" si="65"/>
        <v>126.7243151</v>
      </c>
      <c r="R100" s="392">
        <f t="shared" si="66"/>
        <v>9243839.169</v>
      </c>
      <c r="S100" s="3">
        <f t="shared" si="67"/>
        <v>9243839.169</v>
      </c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603"/>
      <c r="B101" s="3"/>
      <c r="C101" s="585"/>
      <c r="D101" s="586">
        <v>1000.0</v>
      </c>
      <c r="E101" s="588">
        <f t="shared" si="61"/>
        <v>15556911.02</v>
      </c>
      <c r="F101" s="588">
        <f>$S$101</f>
        <v>17890447.67</v>
      </c>
      <c r="G101" s="588">
        <f t="shared" si="62"/>
        <v>19679492.43</v>
      </c>
      <c r="H101" s="3"/>
      <c r="I101" s="3" t="s">
        <v>645</v>
      </c>
      <c r="J101" s="3">
        <v>10.0</v>
      </c>
      <c r="K101" s="3">
        <v>100.0</v>
      </c>
      <c r="L101" s="277">
        <f>Bajadas!E9</f>
        <v>178773.9281</v>
      </c>
      <c r="M101" s="107">
        <f t="shared" si="63"/>
        <v>17877392.81</v>
      </c>
      <c r="N101" s="107">
        <v>500.0</v>
      </c>
      <c r="O101" s="107">
        <v>700.0</v>
      </c>
      <c r="P101" s="107">
        <f t="shared" si="64"/>
        <v>11854.85529</v>
      </c>
      <c r="Q101" s="123">
        <f t="shared" si="65"/>
        <v>118.5485529</v>
      </c>
      <c r="R101" s="392">
        <f t="shared" si="66"/>
        <v>17890447.67</v>
      </c>
      <c r="S101" s="3">
        <f t="shared" si="67"/>
        <v>17890447.67</v>
      </c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 t="s">
        <v>663</v>
      </c>
      <c r="D103" s="3"/>
      <c r="E103" s="567" t="s">
        <v>637</v>
      </c>
      <c r="F103" s="567" t="s">
        <v>638</v>
      </c>
      <c r="G103" s="568" t="s">
        <v>633</v>
      </c>
      <c r="H103" s="3"/>
      <c r="I103" s="3" t="s">
        <v>639</v>
      </c>
      <c r="J103" s="569" t="s">
        <v>640</v>
      </c>
      <c r="K103" s="569" t="s">
        <v>353</v>
      </c>
      <c r="L103" s="569" t="s">
        <v>641</v>
      </c>
      <c r="M103" s="569" t="s">
        <v>361</v>
      </c>
      <c r="N103" s="569" t="s">
        <v>98</v>
      </c>
      <c r="O103" s="569" t="s">
        <v>367</v>
      </c>
      <c r="P103" s="569" t="s">
        <v>642</v>
      </c>
      <c r="Q103" s="569" t="s">
        <v>643</v>
      </c>
      <c r="R103" s="569" t="s">
        <v>258</v>
      </c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>
        <v>5.0</v>
      </c>
      <c r="B104" s="3">
        <v>30.0</v>
      </c>
      <c r="C104" s="3">
        <f>A104*B104</f>
        <v>150</v>
      </c>
      <c r="D104" s="570" t="s">
        <v>104</v>
      </c>
      <c r="E104" s="571" t="s">
        <v>467</v>
      </c>
      <c r="F104" s="571" t="s">
        <v>11</v>
      </c>
      <c r="G104" s="572" t="s">
        <v>11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603" t="s">
        <v>482</v>
      </c>
      <c r="B105" s="3"/>
      <c r="C105" s="574" t="s">
        <v>523</v>
      </c>
      <c r="D105" s="575"/>
      <c r="E105" s="576">
        <v>292.8</v>
      </c>
      <c r="F105" s="577">
        <v>318.07</v>
      </c>
      <c r="G105" s="577">
        <v>362.0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603"/>
      <c r="B106" s="3"/>
      <c r="C106" s="578"/>
      <c r="D106" s="579"/>
      <c r="E106" s="580">
        <v>464.0</v>
      </c>
      <c r="F106" s="581">
        <v>507.0</v>
      </c>
      <c r="G106" s="582">
        <v>561.56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603"/>
      <c r="B107" s="3">
        <v>500.0</v>
      </c>
      <c r="C107" s="578"/>
      <c r="D107" s="583">
        <v>500.0</v>
      </c>
      <c r="E107" s="584">
        <f>C104*E105+B107</f>
        <v>44420</v>
      </c>
      <c r="F107" s="584">
        <f>C104*F105+B107</f>
        <v>48210.5</v>
      </c>
      <c r="G107" s="584">
        <f>C104*G105+B107</f>
        <v>54800</v>
      </c>
      <c r="H107" s="3"/>
      <c r="I107" s="3" t="s">
        <v>645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603"/>
      <c r="B108" s="3">
        <v>700.0</v>
      </c>
      <c r="C108" s="585"/>
      <c r="D108" s="586">
        <v>1000.0</v>
      </c>
      <c r="E108" s="584">
        <f>C104*E106+B108</f>
        <v>70300</v>
      </c>
      <c r="F108" s="584">
        <f>C104*F106+B108</f>
        <v>76750</v>
      </c>
      <c r="G108" s="584">
        <f>C104*G106+B108</f>
        <v>84934</v>
      </c>
      <c r="H108" s="3"/>
      <c r="I108" s="3" t="s">
        <v>645</v>
      </c>
      <c r="J108" s="3"/>
      <c r="K108" s="3"/>
      <c r="L108" s="3"/>
      <c r="M108" s="3"/>
      <c r="N108" s="3"/>
      <c r="O108" s="3"/>
      <c r="P108" s="3"/>
      <c r="Q108" s="3"/>
      <c r="R108" s="3"/>
      <c r="S108" s="3">
        <v>1.1</v>
      </c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603"/>
      <c r="B109" s="3"/>
      <c r="C109" s="574" t="s">
        <v>647</v>
      </c>
      <c r="D109" s="587">
        <v>100.0</v>
      </c>
      <c r="E109" s="588">
        <f t="shared" ref="E109:E112" si="68">F109/1.15</f>
        <v>1711544.109</v>
      </c>
      <c r="F109" s="588">
        <f>$S$98</f>
        <v>1968275.725</v>
      </c>
      <c r="G109" s="588">
        <f t="shared" ref="G109:G112" si="69">F109*1.1</f>
        <v>2165103.298</v>
      </c>
      <c r="H109" s="3"/>
      <c r="I109" s="3"/>
      <c r="J109" s="3">
        <v>8.0</v>
      </c>
      <c r="K109" s="3">
        <v>13.0</v>
      </c>
      <c r="L109" s="277">
        <f>Bajadas!E6</f>
        <v>196651.3209</v>
      </c>
      <c r="M109" s="107">
        <f t="shared" ref="M109:M112" si="70">L109*K109</f>
        <v>2556467.172</v>
      </c>
      <c r="N109" s="107">
        <v>100.0</v>
      </c>
      <c r="O109" s="107">
        <v>150.0</v>
      </c>
      <c r="P109" s="107">
        <f t="shared" ref="P109:P112" si="71">Q109*K109</f>
        <v>1966.270825</v>
      </c>
      <c r="Q109" s="123">
        <f t="shared" ref="Q109:Q112" si="72">Q98</f>
        <v>151.2516019</v>
      </c>
      <c r="R109" s="392">
        <f t="shared" ref="R109:R112" si="73">SUM(M109:P109)</f>
        <v>2558683.443</v>
      </c>
      <c r="S109" s="3">
        <f t="shared" ref="S109:S112" si="74">R109*$S$86</f>
        <v>2558683.443</v>
      </c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603"/>
      <c r="B110" s="3"/>
      <c r="C110" s="578"/>
      <c r="D110" s="587">
        <v>300.0</v>
      </c>
      <c r="E110" s="588">
        <f t="shared" si="68"/>
        <v>4978726.382</v>
      </c>
      <c r="F110" s="588">
        <f>$S$99</f>
        <v>5725535.339</v>
      </c>
      <c r="G110" s="588">
        <f t="shared" si="69"/>
        <v>6298088.873</v>
      </c>
      <c r="H110" s="3"/>
      <c r="I110" s="3" t="s">
        <v>645</v>
      </c>
      <c r="J110" s="3">
        <v>8.0</v>
      </c>
      <c r="K110" s="3">
        <v>38.0</v>
      </c>
      <c r="L110" s="277">
        <f>Bajadas!E7</f>
        <v>190692.19</v>
      </c>
      <c r="M110" s="107">
        <f t="shared" si="70"/>
        <v>7246303.22</v>
      </c>
      <c r="N110" s="107">
        <v>250.0</v>
      </c>
      <c r="O110" s="107">
        <v>350.0</v>
      </c>
      <c r="P110" s="107">
        <f t="shared" si="71"/>
        <v>5281.542425</v>
      </c>
      <c r="Q110" s="123">
        <f t="shared" si="72"/>
        <v>138.9879585</v>
      </c>
      <c r="R110" s="392">
        <f t="shared" si="73"/>
        <v>7252184.762</v>
      </c>
      <c r="S110" s="3">
        <f t="shared" si="74"/>
        <v>7252184.762</v>
      </c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603"/>
      <c r="B111" s="3"/>
      <c r="C111" s="578"/>
      <c r="D111" s="583">
        <v>500.0</v>
      </c>
      <c r="E111" s="588">
        <f t="shared" si="68"/>
        <v>8038121.016</v>
      </c>
      <c r="F111" s="588">
        <f>$S$100</f>
        <v>9243839.169</v>
      </c>
      <c r="G111" s="588">
        <f t="shared" si="69"/>
        <v>10168223.09</v>
      </c>
      <c r="H111" s="3"/>
      <c r="I111" s="3"/>
      <c r="J111" s="3">
        <v>8.0</v>
      </c>
      <c r="K111" s="3">
        <v>63.0</v>
      </c>
      <c r="L111" s="277">
        <f>Bajadas!E8</f>
        <v>184733.0591</v>
      </c>
      <c r="M111" s="107">
        <f t="shared" si="70"/>
        <v>11638182.72</v>
      </c>
      <c r="N111" s="107">
        <v>350.0</v>
      </c>
      <c r="O111" s="107">
        <v>500.0</v>
      </c>
      <c r="P111" s="107">
        <f t="shared" si="71"/>
        <v>7983.631854</v>
      </c>
      <c r="Q111" s="123">
        <f t="shared" si="72"/>
        <v>126.7243151</v>
      </c>
      <c r="R111" s="392">
        <f t="shared" si="73"/>
        <v>11647016.35</v>
      </c>
      <c r="S111" s="3">
        <f t="shared" si="74"/>
        <v>11647016.35</v>
      </c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603"/>
      <c r="B112" s="3"/>
      <c r="C112" s="585"/>
      <c r="D112" s="586">
        <v>1000.0</v>
      </c>
      <c r="E112" s="588">
        <f t="shared" si="68"/>
        <v>19445877.9</v>
      </c>
      <c r="F112" s="588">
        <f>$S$112</f>
        <v>22362759.58</v>
      </c>
      <c r="G112" s="588">
        <f t="shared" si="69"/>
        <v>24599035.54</v>
      </c>
      <c r="H112" s="3"/>
      <c r="I112" s="3" t="s">
        <v>645</v>
      </c>
      <c r="J112" s="3">
        <v>8.0</v>
      </c>
      <c r="K112" s="3">
        <v>125.0</v>
      </c>
      <c r="L112" s="277">
        <f>Bajadas!E9</f>
        <v>178773.9281</v>
      </c>
      <c r="M112" s="107">
        <f t="shared" si="70"/>
        <v>22346741.02</v>
      </c>
      <c r="N112" s="107">
        <v>500.0</v>
      </c>
      <c r="O112" s="107">
        <v>700.0</v>
      </c>
      <c r="P112" s="107">
        <f t="shared" si="71"/>
        <v>14818.56911</v>
      </c>
      <c r="Q112" s="123">
        <f t="shared" si="72"/>
        <v>118.5485529</v>
      </c>
      <c r="R112" s="392">
        <f t="shared" si="73"/>
        <v>22362759.58</v>
      </c>
      <c r="S112" s="3">
        <f t="shared" si="74"/>
        <v>22362759.58</v>
      </c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135"/>
      <c r="B113" s="3"/>
      <c r="C113" s="613"/>
      <c r="D113" s="569"/>
      <c r="E113" s="614"/>
      <c r="F113" s="614"/>
      <c r="G113" s="614"/>
      <c r="H113" s="3"/>
      <c r="I113" s="3"/>
      <c r="J113" s="3"/>
      <c r="K113" s="3"/>
      <c r="L113" s="3"/>
      <c r="M113" s="107"/>
      <c r="N113" s="107"/>
      <c r="O113" s="107"/>
      <c r="P113" s="107"/>
      <c r="Q113" s="123"/>
      <c r="R113" s="392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135"/>
      <c r="B114" s="3"/>
      <c r="C114" s="613"/>
      <c r="D114" s="569"/>
      <c r="E114" s="614"/>
      <c r="F114" s="614"/>
      <c r="G114" s="614"/>
      <c r="H114" s="3"/>
      <c r="I114" s="3"/>
      <c r="J114" s="3"/>
      <c r="K114" s="3"/>
      <c r="L114" s="3"/>
      <c r="M114" s="107"/>
      <c r="N114" s="107"/>
      <c r="O114" s="107"/>
      <c r="P114" s="107"/>
      <c r="Q114" s="123"/>
      <c r="R114" s="392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567" t="s">
        <v>637</v>
      </c>
      <c r="F115" s="567" t="s">
        <v>650</v>
      </c>
      <c r="G115" s="568" t="s">
        <v>651</v>
      </c>
      <c r="H115" s="3"/>
      <c r="I115" s="3"/>
      <c r="J115" s="569" t="s">
        <v>640</v>
      </c>
      <c r="K115" s="569" t="s">
        <v>353</v>
      </c>
      <c r="L115" s="569" t="s">
        <v>641</v>
      </c>
      <c r="M115" s="569" t="s">
        <v>361</v>
      </c>
      <c r="N115" s="569"/>
      <c r="O115" s="569" t="s">
        <v>367</v>
      </c>
      <c r="P115" s="3"/>
      <c r="Q115" s="3"/>
      <c r="R115" s="569" t="s">
        <v>258</v>
      </c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570" t="s">
        <v>104</v>
      </c>
      <c r="E116" s="589" t="s">
        <v>10</v>
      </c>
      <c r="F116" s="571" t="s">
        <v>11</v>
      </c>
      <c r="G116" s="572" t="s">
        <v>11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603" t="s">
        <v>664</v>
      </c>
      <c r="B117" s="3"/>
      <c r="C117" s="615" t="s">
        <v>523</v>
      </c>
      <c r="D117" s="590">
        <v>100.0</v>
      </c>
      <c r="E117" s="616">
        <v>140.0</v>
      </c>
      <c r="F117" s="592"/>
      <c r="G117" s="593"/>
      <c r="H117" s="3"/>
      <c r="I117" s="3"/>
      <c r="J117" s="3">
        <v>10.0</v>
      </c>
      <c r="K117" s="3">
        <v>10.0</v>
      </c>
      <c r="L117" s="3">
        <v>8.33</v>
      </c>
      <c r="M117" s="107">
        <f>L117*K117</f>
        <v>83.3</v>
      </c>
      <c r="N117" s="107"/>
      <c r="O117" s="3"/>
      <c r="P117" s="107">
        <f>Q117*K117</f>
        <v>56</v>
      </c>
      <c r="Q117" s="3">
        <v>5.6</v>
      </c>
      <c r="R117" s="392">
        <f>SUM(M117:P117)</f>
        <v>139.3</v>
      </c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617"/>
      <c r="B118" s="3"/>
      <c r="C118" s="618"/>
      <c r="D118" s="594">
        <v>500.0</v>
      </c>
      <c r="E118" s="619">
        <v>495.0</v>
      </c>
      <c r="F118" s="595"/>
      <c r="G118" s="59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617"/>
      <c r="B119" s="3"/>
      <c r="C119" s="620"/>
      <c r="D119" s="597">
        <v>1000.0</v>
      </c>
      <c r="E119" s="621">
        <v>645.0</v>
      </c>
      <c r="F119" s="598"/>
      <c r="G119" s="599"/>
      <c r="H119" s="3"/>
      <c r="I119" s="3" t="s">
        <v>645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617"/>
      <c r="B120" s="3"/>
      <c r="C120" s="615" t="s">
        <v>647</v>
      </c>
      <c r="D120" s="600">
        <v>100.0</v>
      </c>
      <c r="E120" s="622">
        <v>130.0</v>
      </c>
      <c r="F120" s="623">
        <v>145.0</v>
      </c>
      <c r="G120" s="592"/>
      <c r="H120" s="3"/>
      <c r="I120" s="3"/>
      <c r="J120" s="3">
        <v>10.0</v>
      </c>
      <c r="K120" s="3">
        <v>10.0</v>
      </c>
      <c r="L120" s="3">
        <v>8.33</v>
      </c>
      <c r="M120" s="107">
        <f t="shared" ref="M120:M121" si="75">L120*K120</f>
        <v>83.3</v>
      </c>
      <c r="N120" s="107"/>
      <c r="O120" s="3"/>
      <c r="P120" s="107">
        <f t="shared" ref="P120:P121" si="76">Q120*K120</f>
        <v>56</v>
      </c>
      <c r="Q120" s="3">
        <v>5.6</v>
      </c>
      <c r="R120" s="392">
        <f t="shared" ref="R120:R121" si="77">SUM(M120:P120)</f>
        <v>139.3</v>
      </c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617"/>
      <c r="B121" s="3"/>
      <c r="C121" s="618"/>
      <c r="D121" s="594">
        <v>500.0</v>
      </c>
      <c r="E121" s="624">
        <v>510.0</v>
      </c>
      <c r="F121" s="625">
        <v>640.0</v>
      </c>
      <c r="G121" s="595"/>
      <c r="H121" s="3"/>
      <c r="I121" s="3"/>
      <c r="J121" s="3">
        <v>10.0</v>
      </c>
      <c r="K121" s="3">
        <v>50.0</v>
      </c>
      <c r="L121" s="3">
        <v>7.43</v>
      </c>
      <c r="M121" s="107">
        <f t="shared" si="75"/>
        <v>371.5</v>
      </c>
      <c r="N121" s="107"/>
      <c r="O121" s="3"/>
      <c r="P121" s="107">
        <f t="shared" si="76"/>
        <v>255</v>
      </c>
      <c r="Q121" s="3">
        <v>5.1</v>
      </c>
      <c r="R121" s="392">
        <f t="shared" si="77"/>
        <v>626.5</v>
      </c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617"/>
      <c r="B122" s="3"/>
      <c r="C122" s="620"/>
      <c r="D122" s="597">
        <v>1000.0</v>
      </c>
      <c r="E122" s="626">
        <v>550.0</v>
      </c>
      <c r="F122" s="627">
        <v>1000.0</v>
      </c>
      <c r="G122" s="628">
        <v>1400.0</v>
      </c>
      <c r="H122" s="3"/>
      <c r="I122" s="3" t="s">
        <v>645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 t="s">
        <v>663</v>
      </c>
      <c r="D124" s="3"/>
      <c r="E124" s="567" t="s">
        <v>637</v>
      </c>
      <c r="F124" s="567" t="s">
        <v>650</v>
      </c>
      <c r="G124" s="568" t="s">
        <v>651</v>
      </c>
      <c r="H124" s="3"/>
      <c r="I124" s="3"/>
      <c r="J124" s="569" t="s">
        <v>640</v>
      </c>
      <c r="K124" s="569" t="s">
        <v>353</v>
      </c>
      <c r="L124" s="569" t="s">
        <v>641</v>
      </c>
      <c r="M124" s="569" t="s">
        <v>361</v>
      </c>
      <c r="N124" s="569"/>
      <c r="O124" s="569" t="s">
        <v>367</v>
      </c>
      <c r="P124" s="3"/>
      <c r="Q124" s="3"/>
      <c r="R124" s="569" t="s">
        <v>258</v>
      </c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570" t="s">
        <v>104</v>
      </c>
      <c r="E125" s="589" t="s">
        <v>10</v>
      </c>
      <c r="F125" s="571" t="s">
        <v>11</v>
      </c>
      <c r="G125" s="572" t="s">
        <v>11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603" t="s">
        <v>665</v>
      </c>
      <c r="B126" s="3"/>
      <c r="C126" s="615" t="s">
        <v>523</v>
      </c>
      <c r="D126" s="590">
        <v>100.0</v>
      </c>
      <c r="E126" s="616">
        <v>150.0</v>
      </c>
      <c r="F126" s="592"/>
      <c r="G126" s="593"/>
      <c r="H126" s="3"/>
      <c r="I126" s="3"/>
      <c r="J126" s="3">
        <v>8.0</v>
      </c>
      <c r="K126" s="3">
        <v>13.0</v>
      </c>
      <c r="L126" s="3">
        <v>8.33</v>
      </c>
      <c r="M126" s="107">
        <f>L126*K126</f>
        <v>108.29</v>
      </c>
      <c r="N126" s="107"/>
      <c r="O126" s="3"/>
      <c r="P126" s="107">
        <f>Q126*K126</f>
        <v>66.3</v>
      </c>
      <c r="Q126" s="3">
        <v>5.1</v>
      </c>
      <c r="R126" s="392">
        <f>SUM(M126:P126)</f>
        <v>174.59</v>
      </c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617"/>
      <c r="B127" s="3"/>
      <c r="C127" s="618"/>
      <c r="D127" s="594">
        <v>500.0</v>
      </c>
      <c r="E127" s="619">
        <v>765.0</v>
      </c>
      <c r="F127" s="595"/>
      <c r="G127" s="59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617"/>
      <c r="B128" s="3"/>
      <c r="C128" s="620"/>
      <c r="D128" s="597">
        <v>1000.0</v>
      </c>
      <c r="E128" s="621">
        <v>970.0</v>
      </c>
      <c r="F128" s="598"/>
      <c r="G128" s="599"/>
      <c r="H128" s="3"/>
      <c r="I128" s="3" t="s">
        <v>645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617"/>
      <c r="B129" s="3"/>
      <c r="C129" s="615" t="s">
        <v>647</v>
      </c>
      <c r="D129" s="600">
        <v>100.0</v>
      </c>
      <c r="E129" s="622">
        <v>155.0</v>
      </c>
      <c r="F129" s="623">
        <v>195.0</v>
      </c>
      <c r="G129" s="592"/>
      <c r="H129" s="3"/>
      <c r="I129" s="3"/>
      <c r="J129" s="3">
        <v>8.0</v>
      </c>
      <c r="K129" s="3">
        <v>13.0</v>
      </c>
      <c r="L129" s="3">
        <v>8.33</v>
      </c>
      <c r="M129" s="107">
        <f t="shared" ref="M129:M130" si="78">L129*K129</f>
        <v>108.29</v>
      </c>
      <c r="N129" s="107"/>
      <c r="O129" s="3">
        <v>0.0</v>
      </c>
      <c r="P129" s="107">
        <f t="shared" ref="P129:P130" si="79">Q129*K129</f>
        <v>66.3</v>
      </c>
      <c r="Q129" s="3">
        <v>5.1</v>
      </c>
      <c r="R129" s="392">
        <f t="shared" ref="R129:R130" si="80">SUM(M129:P129)</f>
        <v>174.59</v>
      </c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617"/>
      <c r="B130" s="3"/>
      <c r="C130" s="618"/>
      <c r="D130" s="594">
        <v>500.0</v>
      </c>
      <c r="E130" s="624">
        <v>605.0</v>
      </c>
      <c r="F130" s="625">
        <v>750.0</v>
      </c>
      <c r="G130" s="595"/>
      <c r="H130" s="3"/>
      <c r="I130" s="3"/>
      <c r="J130" s="3">
        <v>8.0</v>
      </c>
      <c r="K130" s="3">
        <v>63.0</v>
      </c>
      <c r="L130" s="3">
        <v>7.28</v>
      </c>
      <c r="M130" s="107">
        <f t="shared" si="78"/>
        <v>458.64</v>
      </c>
      <c r="N130" s="107"/>
      <c r="O130" s="3"/>
      <c r="P130" s="107">
        <f t="shared" si="79"/>
        <v>302.4</v>
      </c>
      <c r="Q130" s="3">
        <v>4.8</v>
      </c>
      <c r="R130" s="392">
        <f t="shared" si="80"/>
        <v>761.04</v>
      </c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617"/>
      <c r="B131" s="3"/>
      <c r="C131" s="620"/>
      <c r="D131" s="597">
        <v>1000.0</v>
      </c>
      <c r="E131" s="626">
        <v>835.0</v>
      </c>
      <c r="F131" s="627">
        <v>1500.0</v>
      </c>
      <c r="G131" s="628">
        <v>2195.0</v>
      </c>
      <c r="H131" s="3"/>
      <c r="I131" s="3" t="s">
        <v>645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 t="s">
        <v>666</v>
      </c>
      <c r="D134" s="3"/>
      <c r="E134" s="567" t="s">
        <v>637</v>
      </c>
      <c r="F134" s="567" t="s">
        <v>638</v>
      </c>
      <c r="G134" s="568" t="s">
        <v>633</v>
      </c>
      <c r="H134" s="3"/>
      <c r="I134" s="3" t="s">
        <v>639</v>
      </c>
      <c r="J134" s="569" t="s">
        <v>640</v>
      </c>
      <c r="K134" s="569" t="s">
        <v>353</v>
      </c>
      <c r="L134" s="569" t="s">
        <v>641</v>
      </c>
      <c r="M134" s="569" t="s">
        <v>361</v>
      </c>
      <c r="N134" s="569" t="s">
        <v>98</v>
      </c>
      <c r="O134" s="569" t="s">
        <v>367</v>
      </c>
      <c r="P134" s="569" t="s">
        <v>642</v>
      </c>
      <c r="Q134" s="569" t="s">
        <v>643</v>
      </c>
      <c r="R134" s="569" t="s">
        <v>258</v>
      </c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>
        <v>6.5</v>
      </c>
      <c r="B135" s="3">
        <v>9.5</v>
      </c>
      <c r="C135" s="3">
        <f>A135*B135</f>
        <v>61.75</v>
      </c>
      <c r="D135" s="570" t="s">
        <v>104</v>
      </c>
      <c r="E135" s="571" t="s">
        <v>467</v>
      </c>
      <c r="F135" s="571" t="s">
        <v>11</v>
      </c>
      <c r="G135" s="572" t="s">
        <v>11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603" t="s">
        <v>667</v>
      </c>
      <c r="B136" s="3"/>
      <c r="C136" s="574" t="s">
        <v>523</v>
      </c>
      <c r="D136" s="575"/>
      <c r="E136" s="576">
        <v>63.0</v>
      </c>
      <c r="F136" s="577">
        <v>66.0</v>
      </c>
      <c r="G136" s="577">
        <v>97.44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603"/>
      <c r="B137" s="3"/>
      <c r="C137" s="578"/>
      <c r="D137" s="579"/>
      <c r="E137" s="580">
        <v>104.0</v>
      </c>
      <c r="F137" s="581">
        <v>107.0</v>
      </c>
      <c r="G137" s="582">
        <v>135.72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603"/>
      <c r="B138" s="3">
        <v>500.0</v>
      </c>
      <c r="C138" s="578"/>
      <c r="D138" s="583">
        <v>500.0</v>
      </c>
      <c r="E138" s="629">
        <f>C135*E136+B138</f>
        <v>4390.25</v>
      </c>
      <c r="F138" s="630">
        <f>C135*F136+B138</f>
        <v>4575.5</v>
      </c>
      <c r="G138" s="630">
        <f>C135*G136+B138</f>
        <v>6516.92</v>
      </c>
      <c r="H138" s="3"/>
      <c r="I138" s="3" t="s">
        <v>645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603"/>
      <c r="B139" s="3">
        <v>700.0</v>
      </c>
      <c r="C139" s="585"/>
      <c r="D139" s="586">
        <v>1000.0</v>
      </c>
      <c r="E139" s="629">
        <f>C135*E137+B139</f>
        <v>7122</v>
      </c>
      <c r="F139" s="630">
        <f>C135*F137+B139</f>
        <v>7307.25</v>
      </c>
      <c r="G139" s="630">
        <f>C135*G137+B139</f>
        <v>9080.71</v>
      </c>
      <c r="H139" s="3"/>
      <c r="I139" s="3" t="s">
        <v>645</v>
      </c>
      <c r="J139" s="3"/>
      <c r="K139" s="3"/>
      <c r="L139" s="3"/>
      <c r="M139" s="3"/>
      <c r="N139" s="3"/>
      <c r="O139" s="3"/>
      <c r="P139" s="3"/>
      <c r="Q139" s="3"/>
      <c r="R139" s="3"/>
      <c r="S139" s="3">
        <v>1.1</v>
      </c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603"/>
      <c r="B140" s="3"/>
      <c r="C140" s="574" t="s">
        <v>647</v>
      </c>
      <c r="D140" s="587">
        <v>100.0</v>
      </c>
      <c r="E140" s="629">
        <f t="shared" ref="E140:E143" si="81">F140/1.15</f>
        <v>1354.782609</v>
      </c>
      <c r="F140" s="629">
        <f>$S$140</f>
        <v>1558</v>
      </c>
      <c r="G140" s="630">
        <f t="shared" ref="G140:G143" si="82">F140*1.24</f>
        <v>1931.92</v>
      </c>
      <c r="H140" s="3"/>
      <c r="I140" s="3"/>
      <c r="J140" s="3">
        <v>18.0</v>
      </c>
      <c r="K140" s="3">
        <v>6.0</v>
      </c>
      <c r="L140" s="3">
        <v>199.0</v>
      </c>
      <c r="M140" s="107">
        <f t="shared" ref="M140:M143" si="83">L140*K140</f>
        <v>1194</v>
      </c>
      <c r="N140" s="107">
        <v>100.0</v>
      </c>
      <c r="O140" s="107">
        <v>150.0</v>
      </c>
      <c r="P140" s="107">
        <f t="shared" ref="P140:P143" si="84">Q140*K140</f>
        <v>114</v>
      </c>
      <c r="Q140" s="3">
        <v>19.0</v>
      </c>
      <c r="R140" s="392">
        <f t="shared" ref="R140:R143" si="85">SUM(M140:P140)</f>
        <v>1558</v>
      </c>
      <c r="S140" s="123">
        <f t="shared" ref="S140:S143" si="86">R140*$S$86</f>
        <v>1558</v>
      </c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603"/>
      <c r="B141" s="3"/>
      <c r="C141" s="578"/>
      <c r="D141" s="587">
        <v>300.0</v>
      </c>
      <c r="E141" s="629">
        <f t="shared" si="81"/>
        <v>3744.347826</v>
      </c>
      <c r="F141" s="629">
        <f>$S$141</f>
        <v>4306</v>
      </c>
      <c r="G141" s="630">
        <f t="shared" si="82"/>
        <v>5339.44</v>
      </c>
      <c r="H141" s="3"/>
      <c r="I141" s="3" t="s">
        <v>645</v>
      </c>
      <c r="J141" s="3">
        <v>18.0</v>
      </c>
      <c r="K141" s="3">
        <v>17.0</v>
      </c>
      <c r="L141" s="3">
        <v>199.0</v>
      </c>
      <c r="M141" s="107">
        <f t="shared" si="83"/>
        <v>3383</v>
      </c>
      <c r="N141" s="107">
        <v>250.0</v>
      </c>
      <c r="O141" s="107">
        <v>350.0</v>
      </c>
      <c r="P141" s="107">
        <f t="shared" si="84"/>
        <v>323</v>
      </c>
      <c r="Q141" s="3">
        <v>19.0</v>
      </c>
      <c r="R141" s="392">
        <f t="shared" si="85"/>
        <v>4306</v>
      </c>
      <c r="S141" s="123">
        <f t="shared" si="86"/>
        <v>4306</v>
      </c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603"/>
      <c r="B142" s="3"/>
      <c r="C142" s="578"/>
      <c r="D142" s="583">
        <v>500.0</v>
      </c>
      <c r="E142" s="629">
        <f t="shared" si="81"/>
        <v>5696.347826</v>
      </c>
      <c r="F142" s="629">
        <f>$S$142</f>
        <v>6550.8</v>
      </c>
      <c r="G142" s="630">
        <f t="shared" si="82"/>
        <v>8122.992</v>
      </c>
      <c r="H142" s="3"/>
      <c r="I142" s="3"/>
      <c r="J142" s="3">
        <v>18.0</v>
      </c>
      <c r="K142" s="3">
        <v>28.0</v>
      </c>
      <c r="L142" s="3">
        <v>187.6</v>
      </c>
      <c r="M142" s="107">
        <f t="shared" si="83"/>
        <v>5252.8</v>
      </c>
      <c r="N142" s="107">
        <v>350.0</v>
      </c>
      <c r="O142" s="107">
        <v>500.0</v>
      </c>
      <c r="P142" s="107">
        <f t="shared" si="84"/>
        <v>448</v>
      </c>
      <c r="Q142" s="3">
        <v>16.0</v>
      </c>
      <c r="R142" s="392">
        <f t="shared" si="85"/>
        <v>6550.8</v>
      </c>
      <c r="S142" s="123">
        <f t="shared" si="86"/>
        <v>6550.8</v>
      </c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603"/>
      <c r="B143" s="3"/>
      <c r="C143" s="585"/>
      <c r="D143" s="586">
        <v>1000.0</v>
      </c>
      <c r="E143" s="629">
        <f t="shared" si="81"/>
        <v>10290.78261</v>
      </c>
      <c r="F143" s="629">
        <f>$S$143</f>
        <v>11834.4</v>
      </c>
      <c r="G143" s="630">
        <f t="shared" si="82"/>
        <v>14674.656</v>
      </c>
      <c r="H143" s="3"/>
      <c r="I143" s="3" t="s">
        <v>645</v>
      </c>
      <c r="J143" s="3">
        <v>18.0</v>
      </c>
      <c r="K143" s="3">
        <v>56.0</v>
      </c>
      <c r="L143" s="3">
        <v>175.9</v>
      </c>
      <c r="M143" s="107">
        <f t="shared" si="83"/>
        <v>9850.4</v>
      </c>
      <c r="N143" s="107">
        <v>500.0</v>
      </c>
      <c r="O143" s="107">
        <v>700.0</v>
      </c>
      <c r="P143" s="107">
        <f t="shared" si="84"/>
        <v>784</v>
      </c>
      <c r="Q143" s="107">
        <v>14.0</v>
      </c>
      <c r="R143" s="392">
        <f t="shared" si="85"/>
        <v>11834.4</v>
      </c>
      <c r="S143" s="123">
        <f t="shared" si="86"/>
        <v>11834.4</v>
      </c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17:A122"/>
    <mergeCell ref="C117:C119"/>
    <mergeCell ref="C120:C122"/>
    <mergeCell ref="A126:A131"/>
    <mergeCell ref="C126:C128"/>
    <mergeCell ref="C129:C13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  <col customWidth="1" min="9" max="9" width="18.86"/>
    <col customWidth="1" min="10" max="26" width="10.71"/>
  </cols>
  <sheetData>
    <row r="1">
      <c r="B1" s="203" t="s">
        <v>668</v>
      </c>
    </row>
    <row r="2">
      <c r="B2" s="3" t="s">
        <v>669</v>
      </c>
    </row>
    <row r="3" ht="25.5" customHeight="1">
      <c r="B3" s="631" t="s">
        <v>668</v>
      </c>
      <c r="C3" s="632"/>
      <c r="D3" s="633" t="s">
        <v>670</v>
      </c>
      <c r="E3" s="12"/>
    </row>
    <row r="4">
      <c r="B4" s="634"/>
      <c r="C4" s="634"/>
      <c r="D4" s="634"/>
      <c r="F4" s="634"/>
      <c r="G4" s="634"/>
    </row>
    <row r="5">
      <c r="A5" s="635"/>
      <c r="C5" s="634"/>
    </row>
    <row r="6">
      <c r="C6" s="634"/>
    </row>
    <row r="7">
      <c r="C7" s="636" t="s">
        <v>671</v>
      </c>
      <c r="D7" s="635" t="s">
        <v>672</v>
      </c>
      <c r="E7" s="635" t="s">
        <v>673</v>
      </c>
      <c r="F7" s="635" t="s">
        <v>674</v>
      </c>
    </row>
    <row r="8">
      <c r="C8" s="637">
        <v>7.0</v>
      </c>
      <c r="D8" s="638">
        <v>50.0</v>
      </c>
    </row>
    <row r="9">
      <c r="C9" s="637">
        <v>9.0</v>
      </c>
      <c r="D9" s="638">
        <v>70.0</v>
      </c>
    </row>
    <row r="10">
      <c r="C10" s="637">
        <v>12.0</v>
      </c>
      <c r="D10" s="638">
        <v>90.0</v>
      </c>
    </row>
    <row r="11">
      <c r="C11" s="637">
        <v>14.0</v>
      </c>
      <c r="D11" s="638">
        <v>120.0</v>
      </c>
    </row>
    <row r="12">
      <c r="C12" s="637">
        <v>17.0</v>
      </c>
      <c r="D12" s="638">
        <v>140.0</v>
      </c>
    </row>
    <row r="13">
      <c r="C13" s="637">
        <v>20.0</v>
      </c>
      <c r="D13" s="638">
        <v>170.0</v>
      </c>
    </row>
    <row r="14">
      <c r="C14" s="637">
        <v>23.0</v>
      </c>
      <c r="D14" s="638">
        <v>200.0</v>
      </c>
    </row>
    <row r="15">
      <c r="C15" s="637">
        <v>25.0</v>
      </c>
      <c r="D15" s="638">
        <v>220.0</v>
      </c>
    </row>
    <row r="16">
      <c r="C16" s="637">
        <v>29.0</v>
      </c>
      <c r="D16" s="638">
        <v>260.0</v>
      </c>
    </row>
    <row r="17">
      <c r="C17" s="637">
        <v>33.0</v>
      </c>
      <c r="D17" s="638">
        <v>300.0</v>
      </c>
    </row>
    <row r="18">
      <c r="C18" s="637">
        <v>40.0</v>
      </c>
      <c r="D18" s="638">
        <v>360.0</v>
      </c>
    </row>
    <row r="19">
      <c r="B19" s="637"/>
      <c r="C19" s="637">
        <v>45.0</v>
      </c>
      <c r="D19" s="638">
        <v>420.0</v>
      </c>
    </row>
    <row r="20">
      <c r="C20" s="637">
        <v>50.0</v>
      </c>
      <c r="D20" s="638">
        <v>450.0</v>
      </c>
    </row>
    <row r="21" ht="15.75" customHeight="1"/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636" t="s">
        <v>671</v>
      </c>
      <c r="Q22" s="3" t="s">
        <v>675</v>
      </c>
      <c r="R22" s="3" t="s">
        <v>676</v>
      </c>
      <c r="S22" s="3" t="s">
        <v>677</v>
      </c>
      <c r="T22" s="489" t="s">
        <v>84</v>
      </c>
      <c r="U22" s="3"/>
      <c r="V22" s="489" t="s">
        <v>678</v>
      </c>
      <c r="W22" s="3"/>
      <c r="X22" s="3"/>
      <c r="Y22" s="3"/>
      <c r="Z22" s="3"/>
    </row>
    <row r="23" ht="15.75" customHeight="1">
      <c r="A23" s="636" t="s">
        <v>671</v>
      </c>
      <c r="B23" s="637">
        <v>7.0</v>
      </c>
      <c r="C23" s="637">
        <v>9.0</v>
      </c>
      <c r="D23" s="637">
        <v>12.0</v>
      </c>
      <c r="E23" s="637">
        <v>14.0</v>
      </c>
      <c r="F23" s="637">
        <v>17.0</v>
      </c>
      <c r="G23" s="637">
        <v>20.0</v>
      </c>
      <c r="H23" s="637">
        <v>23.0</v>
      </c>
      <c r="I23" s="637">
        <v>25.0</v>
      </c>
      <c r="J23" s="637">
        <v>29.0</v>
      </c>
      <c r="K23" s="637">
        <v>33.0</v>
      </c>
      <c r="L23" s="637">
        <v>40.0</v>
      </c>
      <c r="M23" s="637">
        <v>45.0</v>
      </c>
      <c r="N23" s="637">
        <v>50.0</v>
      </c>
      <c r="O23" s="3"/>
      <c r="P23" s="637">
        <v>7.0</v>
      </c>
      <c r="Q23" s="638">
        <v>50.0</v>
      </c>
      <c r="R23" s="3">
        <v>0.6</v>
      </c>
      <c r="S23" s="3">
        <v>1.4</v>
      </c>
      <c r="T23" s="639">
        <f t="shared" ref="T23:T35" si="1">R23*S23</f>
        <v>0.84</v>
      </c>
      <c r="U23" s="3"/>
      <c r="V23" s="45">
        <v>1.0</v>
      </c>
      <c r="W23" s="489">
        <v>2.0</v>
      </c>
      <c r="X23" s="3"/>
      <c r="Y23" s="3"/>
      <c r="Z23" s="3"/>
    </row>
    <row r="24" ht="15.75" customHeight="1">
      <c r="A24" s="36" t="s">
        <v>257</v>
      </c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  <c r="O24" s="3"/>
      <c r="P24" s="637">
        <v>9.0</v>
      </c>
      <c r="Q24" s="638">
        <v>50.0</v>
      </c>
      <c r="R24" s="3">
        <v>0.68</v>
      </c>
      <c r="S24" s="3">
        <v>1.4</v>
      </c>
      <c r="T24" s="639">
        <f t="shared" si="1"/>
        <v>0.952</v>
      </c>
      <c r="U24" s="3"/>
      <c r="V24" s="45" t="s">
        <v>179</v>
      </c>
      <c r="W24" s="489">
        <v>1.9</v>
      </c>
      <c r="X24" s="3"/>
      <c r="Y24" s="3"/>
      <c r="Z24" s="3"/>
    </row>
    <row r="25" ht="15.75" customHeight="1">
      <c r="A25" s="45">
        <v>1.0</v>
      </c>
      <c r="B25" s="637">
        <f>T23*W23+8</f>
        <v>9.68</v>
      </c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N25" s="637"/>
      <c r="O25" s="3"/>
      <c r="P25" s="637">
        <v>12.0</v>
      </c>
      <c r="Q25" s="638">
        <v>50.0</v>
      </c>
      <c r="R25" s="3">
        <v>0.9</v>
      </c>
      <c r="S25" s="3">
        <v>1.4</v>
      </c>
      <c r="T25" s="639">
        <f t="shared" si="1"/>
        <v>1.26</v>
      </c>
      <c r="U25" s="3"/>
      <c r="V25" s="45" t="s">
        <v>180</v>
      </c>
      <c r="W25" s="489">
        <v>1.8</v>
      </c>
      <c r="X25" s="3"/>
      <c r="Y25" s="3"/>
      <c r="Z25" s="3"/>
    </row>
    <row r="26" ht="15.75" customHeight="1">
      <c r="A26" s="45" t="s">
        <v>179</v>
      </c>
      <c r="B26" s="637"/>
      <c r="C26" s="637"/>
      <c r="D26" s="637"/>
      <c r="E26" s="637"/>
      <c r="F26" s="637"/>
      <c r="G26" s="637"/>
      <c r="H26" s="637"/>
      <c r="I26" s="637"/>
      <c r="J26" s="637"/>
      <c r="K26" s="637"/>
      <c r="L26" s="637"/>
      <c r="M26" s="637"/>
      <c r="N26" s="637"/>
      <c r="O26" s="3"/>
      <c r="P26" s="637">
        <v>14.0</v>
      </c>
      <c r="Q26" s="638">
        <v>50.0</v>
      </c>
      <c r="R26" s="3">
        <v>1.13</v>
      </c>
      <c r="S26" s="3">
        <v>1.4</v>
      </c>
      <c r="T26" s="639">
        <f t="shared" si="1"/>
        <v>1.582</v>
      </c>
      <c r="U26" s="3"/>
      <c r="V26" s="45" t="s">
        <v>181</v>
      </c>
      <c r="W26" s="489">
        <v>1.7</v>
      </c>
      <c r="X26" s="3"/>
      <c r="Y26" s="3"/>
      <c r="Z26" s="3"/>
    </row>
    <row r="27" ht="15.75" customHeight="1">
      <c r="A27" s="45" t="s">
        <v>180</v>
      </c>
      <c r="B27" s="637"/>
      <c r="C27" s="637"/>
      <c r="D27" s="637"/>
      <c r="E27" s="637"/>
      <c r="F27" s="637"/>
      <c r="G27" s="637"/>
      <c r="H27" s="637"/>
      <c r="I27" s="637"/>
      <c r="J27" s="637"/>
      <c r="K27" s="637"/>
      <c r="L27" s="637"/>
      <c r="M27" s="637"/>
      <c r="N27" s="637"/>
      <c r="O27" s="3"/>
      <c r="P27" s="637">
        <v>17.0</v>
      </c>
      <c r="Q27" s="638">
        <v>50.0</v>
      </c>
      <c r="R27" s="3">
        <v>1.75</v>
      </c>
      <c r="S27" s="3">
        <v>1.4</v>
      </c>
      <c r="T27" s="639">
        <f t="shared" si="1"/>
        <v>2.45</v>
      </c>
      <c r="U27" s="3"/>
      <c r="V27" s="45" t="s">
        <v>182</v>
      </c>
      <c r="W27" s="489">
        <v>1.6</v>
      </c>
      <c r="X27" s="3"/>
      <c r="Y27" s="3"/>
      <c r="Z27" s="3"/>
    </row>
    <row r="28" ht="15.75" customHeight="1">
      <c r="A28" s="45" t="s">
        <v>181</v>
      </c>
      <c r="B28" s="637"/>
      <c r="C28" s="637"/>
      <c r="D28" s="637"/>
      <c r="E28" s="637"/>
      <c r="F28" s="637"/>
      <c r="G28" s="637"/>
      <c r="H28" s="637"/>
      <c r="I28" s="637"/>
      <c r="J28" s="637"/>
      <c r="K28" s="637"/>
      <c r="L28" s="637"/>
      <c r="M28" s="637"/>
      <c r="N28" s="637"/>
      <c r="P28" s="637">
        <v>20.0</v>
      </c>
      <c r="Q28" s="638">
        <v>50.0</v>
      </c>
      <c r="R28" s="3">
        <v>1.91</v>
      </c>
      <c r="S28" s="3">
        <v>1.4</v>
      </c>
      <c r="T28" s="639">
        <f t="shared" si="1"/>
        <v>2.674</v>
      </c>
      <c r="V28" s="45" t="s">
        <v>18</v>
      </c>
      <c r="W28" s="489">
        <v>1.5</v>
      </c>
    </row>
    <row r="29" ht="15.75" customHeight="1">
      <c r="A29" s="45" t="s">
        <v>182</v>
      </c>
      <c r="B29" s="637"/>
      <c r="C29" s="637"/>
      <c r="D29" s="637"/>
      <c r="E29" s="637"/>
      <c r="F29" s="637"/>
      <c r="G29" s="637"/>
      <c r="H29" s="637"/>
      <c r="I29" s="637"/>
      <c r="J29" s="637"/>
      <c r="K29" s="637"/>
      <c r="L29" s="637"/>
      <c r="M29" s="637"/>
      <c r="N29" s="637"/>
      <c r="P29" s="637">
        <v>23.0</v>
      </c>
      <c r="Q29" s="638">
        <v>20.0</v>
      </c>
      <c r="R29" s="3">
        <v>2.05</v>
      </c>
      <c r="S29" s="3">
        <v>1.4</v>
      </c>
      <c r="T29" s="639">
        <f t="shared" si="1"/>
        <v>2.87</v>
      </c>
      <c r="V29" s="45" t="s">
        <v>19</v>
      </c>
      <c r="W29" s="489">
        <v>1.4</v>
      </c>
    </row>
    <row r="30" ht="15.75" customHeight="1">
      <c r="A30" s="45" t="s">
        <v>18</v>
      </c>
      <c r="B30" s="637"/>
      <c r="C30" s="637"/>
      <c r="D30" s="637"/>
      <c r="E30" s="637"/>
      <c r="F30" s="637"/>
      <c r="G30" s="637"/>
      <c r="H30" s="637"/>
      <c r="I30" s="637"/>
      <c r="J30" s="637"/>
      <c r="K30" s="637"/>
      <c r="L30" s="637"/>
      <c r="M30" s="637"/>
      <c r="N30" s="637"/>
      <c r="P30" s="637">
        <v>25.0</v>
      </c>
      <c r="Q30" s="638">
        <v>20.0</v>
      </c>
      <c r="R30" s="3">
        <v>3.15</v>
      </c>
      <c r="S30" s="3">
        <v>1.4</v>
      </c>
      <c r="T30" s="639">
        <f t="shared" si="1"/>
        <v>4.41</v>
      </c>
    </row>
    <row r="31" ht="15.75" customHeight="1">
      <c r="A31" s="45" t="s">
        <v>19</v>
      </c>
      <c r="B31" s="637"/>
      <c r="C31" s="637"/>
      <c r="D31" s="637"/>
      <c r="E31" s="637"/>
      <c r="F31" s="637"/>
      <c r="G31" s="637"/>
      <c r="H31" s="637"/>
      <c r="I31" s="637"/>
      <c r="J31" s="637"/>
      <c r="K31" s="637"/>
      <c r="L31" s="637"/>
      <c r="M31" s="637"/>
      <c r="N31" s="637"/>
      <c r="P31" s="637">
        <v>29.0</v>
      </c>
      <c r="Q31" s="638">
        <v>20.0</v>
      </c>
      <c r="R31" s="3">
        <v>3.76</v>
      </c>
      <c r="S31" s="3">
        <v>1.4</v>
      </c>
      <c r="T31" s="639">
        <f t="shared" si="1"/>
        <v>5.264</v>
      </c>
    </row>
    <row r="32" ht="15.75" customHeight="1">
      <c r="A32" s="636"/>
      <c r="B32" s="637"/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P32" s="637">
        <v>33.0</v>
      </c>
      <c r="Q32" s="638">
        <v>20.0</v>
      </c>
      <c r="R32" s="3">
        <v>4.58</v>
      </c>
      <c r="S32" s="3">
        <v>1.4</v>
      </c>
      <c r="T32" s="639">
        <f t="shared" si="1"/>
        <v>6.412</v>
      </c>
    </row>
    <row r="33" ht="15.75" customHeight="1">
      <c r="P33" s="637">
        <v>40.0</v>
      </c>
      <c r="Q33" s="638">
        <v>10.0</v>
      </c>
      <c r="R33" s="3">
        <v>7.21</v>
      </c>
      <c r="S33" s="3">
        <v>1.4</v>
      </c>
      <c r="T33" s="639">
        <f t="shared" si="1"/>
        <v>10.094</v>
      </c>
    </row>
    <row r="34" ht="15.75" customHeight="1">
      <c r="P34" s="637">
        <v>45.0</v>
      </c>
      <c r="Q34" s="638">
        <v>5.0</v>
      </c>
      <c r="R34" s="3">
        <v>9.16</v>
      </c>
      <c r="S34" s="3">
        <v>1.4</v>
      </c>
      <c r="T34" s="639">
        <f t="shared" si="1"/>
        <v>12.824</v>
      </c>
    </row>
    <row r="35" ht="15.75" customHeight="1">
      <c r="P35" s="637">
        <v>50.0</v>
      </c>
      <c r="Q35" s="638">
        <v>5.0</v>
      </c>
      <c r="R35" s="3">
        <v>10.8</v>
      </c>
      <c r="S35" s="3">
        <v>1.4</v>
      </c>
      <c r="T35" s="639">
        <f t="shared" si="1"/>
        <v>15.12</v>
      </c>
    </row>
    <row r="36" ht="15.75" customHeight="1"/>
    <row r="37" ht="15.75" customHeight="1"/>
    <row r="38" ht="15.75" customHeight="1"/>
    <row r="39" ht="15.75" customHeight="1">
      <c r="A39" s="3" t="s">
        <v>679</v>
      </c>
    </row>
    <row r="40" ht="15.75" customHeight="1">
      <c r="A40" s="3" t="s">
        <v>680</v>
      </c>
    </row>
    <row r="41" ht="15.75" customHeight="1">
      <c r="B41" s="3" t="s">
        <v>681</v>
      </c>
    </row>
    <row r="42" ht="15.75" customHeight="1">
      <c r="B42" s="3" t="s">
        <v>682</v>
      </c>
      <c r="C42" s="3" t="s">
        <v>683</v>
      </c>
      <c r="E42" s="3" t="s">
        <v>684</v>
      </c>
      <c r="F42" s="3" t="s">
        <v>685</v>
      </c>
      <c r="G42" s="3" t="s">
        <v>686</v>
      </c>
      <c r="I42" s="3" t="s">
        <v>687</v>
      </c>
      <c r="J42" s="3" t="s">
        <v>688</v>
      </c>
      <c r="K42" s="3" t="s">
        <v>689</v>
      </c>
      <c r="L42" s="3" t="s">
        <v>690</v>
      </c>
      <c r="O42" s="3" t="s">
        <v>691</v>
      </c>
    </row>
    <row r="43" ht="15.75" customHeight="1">
      <c r="B43" s="3">
        <v>6.9</v>
      </c>
      <c r="C43" s="3">
        <f>FLOOR(50*(B43/10),10)</f>
        <v>30</v>
      </c>
      <c r="E43" s="3">
        <v>100.0</v>
      </c>
      <c r="F43" s="3">
        <v>1.55</v>
      </c>
      <c r="G43" s="20">
        <f t="shared" ref="G43:G54" si="2">F43*1.21</f>
        <v>1.8755</v>
      </c>
      <c r="I43" s="3">
        <v>58000.0</v>
      </c>
      <c r="J43" s="3">
        <v>2749.0</v>
      </c>
      <c r="K43" s="3">
        <f t="shared" ref="K43:K54" si="3">J43*1.21</f>
        <v>3326.29</v>
      </c>
      <c r="L43" s="20">
        <f t="shared" ref="L43:L54" si="4">K43/I43</f>
        <v>0.05734982759</v>
      </c>
      <c r="O43" s="3" t="s">
        <v>692</v>
      </c>
    </row>
    <row r="44" ht="15.75" customHeight="1">
      <c r="B44" s="3">
        <v>8.0</v>
      </c>
      <c r="C44" s="3">
        <f t="shared" ref="C44:C55" si="5">FLOOR(80*(B44/10),10)</f>
        <v>60</v>
      </c>
      <c r="E44" s="3">
        <v>100.0</v>
      </c>
      <c r="F44" s="3">
        <v>1.73</v>
      </c>
      <c r="G44" s="20">
        <f t="shared" si="2"/>
        <v>2.0933</v>
      </c>
      <c r="I44" s="3">
        <v>40000.0</v>
      </c>
      <c r="J44" s="3">
        <v>2179.0</v>
      </c>
      <c r="K44" s="3">
        <f t="shared" si="3"/>
        <v>2636.59</v>
      </c>
      <c r="L44" s="20">
        <f t="shared" si="4"/>
        <v>0.06591475</v>
      </c>
    </row>
    <row r="45" ht="15.75" customHeight="1">
      <c r="B45" s="3">
        <v>9.5</v>
      </c>
      <c r="C45" s="3">
        <f t="shared" si="5"/>
        <v>70</v>
      </c>
      <c r="E45" s="3">
        <v>100.0</v>
      </c>
      <c r="F45" s="3">
        <v>2.11</v>
      </c>
      <c r="G45" s="20">
        <f t="shared" si="2"/>
        <v>2.5531</v>
      </c>
      <c r="I45" s="3">
        <v>31000.0</v>
      </c>
      <c r="J45" s="3">
        <v>2104.0</v>
      </c>
      <c r="K45" s="3">
        <f t="shared" si="3"/>
        <v>2545.84</v>
      </c>
      <c r="L45" s="20">
        <f t="shared" si="4"/>
        <v>0.08212387097</v>
      </c>
    </row>
    <row r="46" ht="15.75" customHeight="1">
      <c r="B46" s="3">
        <v>11.0</v>
      </c>
      <c r="C46" s="3">
        <f t="shared" si="5"/>
        <v>80</v>
      </c>
      <c r="E46" s="3">
        <v>100.0</v>
      </c>
      <c r="F46" s="3">
        <v>2.58</v>
      </c>
      <c r="G46" s="20">
        <f t="shared" si="2"/>
        <v>3.1218</v>
      </c>
      <c r="I46" s="3">
        <v>21000.0</v>
      </c>
      <c r="J46" s="3">
        <v>1765.0</v>
      </c>
      <c r="K46" s="3">
        <f t="shared" si="3"/>
        <v>2135.65</v>
      </c>
      <c r="L46" s="20">
        <f t="shared" si="4"/>
        <v>0.101697619</v>
      </c>
    </row>
    <row r="47" ht="15.75" customHeight="1">
      <c r="B47" s="3">
        <v>12.7</v>
      </c>
      <c r="C47" s="3">
        <f t="shared" si="5"/>
        <v>100</v>
      </c>
      <c r="E47" s="3">
        <v>100.0</v>
      </c>
      <c r="F47" s="3">
        <v>3.07</v>
      </c>
      <c r="G47" s="20">
        <f t="shared" si="2"/>
        <v>3.7147</v>
      </c>
      <c r="I47" s="3">
        <v>17500.0</v>
      </c>
      <c r="J47" s="3">
        <v>1699.0</v>
      </c>
      <c r="K47" s="3">
        <f t="shared" si="3"/>
        <v>2055.79</v>
      </c>
      <c r="L47" s="20">
        <f t="shared" si="4"/>
        <v>0.1174737143</v>
      </c>
    </row>
    <row r="48" ht="15.75" customHeight="1">
      <c r="B48" s="3">
        <v>14.3</v>
      </c>
      <c r="C48" s="3">
        <f t="shared" si="5"/>
        <v>110</v>
      </c>
      <c r="E48" s="3">
        <v>100.0</v>
      </c>
      <c r="F48" s="3">
        <v>3.84</v>
      </c>
      <c r="G48" s="20">
        <f t="shared" si="2"/>
        <v>4.6464</v>
      </c>
      <c r="I48" s="3">
        <v>14500.0</v>
      </c>
      <c r="J48" s="3">
        <v>1768.0</v>
      </c>
      <c r="K48" s="3">
        <f t="shared" si="3"/>
        <v>2139.28</v>
      </c>
      <c r="L48" s="20">
        <f t="shared" si="4"/>
        <v>0.1475365517</v>
      </c>
    </row>
    <row r="49" ht="15.75" customHeight="1">
      <c r="B49" s="3">
        <v>16.0</v>
      </c>
      <c r="C49" s="3">
        <f t="shared" si="5"/>
        <v>120</v>
      </c>
      <c r="E49" s="3">
        <v>50.0</v>
      </c>
      <c r="F49" s="3">
        <v>4.8</v>
      </c>
      <c r="G49" s="20">
        <f t="shared" si="2"/>
        <v>5.808</v>
      </c>
      <c r="I49" s="3">
        <v>12000.0</v>
      </c>
      <c r="J49" s="3">
        <v>1818.0</v>
      </c>
      <c r="K49" s="3">
        <f t="shared" si="3"/>
        <v>2199.78</v>
      </c>
      <c r="L49" s="20">
        <f t="shared" si="4"/>
        <v>0.183315</v>
      </c>
    </row>
    <row r="50" ht="15.75" customHeight="1">
      <c r="B50" s="3">
        <v>19.0</v>
      </c>
      <c r="C50" s="3">
        <f t="shared" si="5"/>
        <v>150</v>
      </c>
      <c r="E50" s="3">
        <v>50.0</v>
      </c>
      <c r="F50" s="3">
        <v>5.5</v>
      </c>
      <c r="G50" s="20">
        <f t="shared" si="2"/>
        <v>6.655</v>
      </c>
      <c r="I50" s="3">
        <v>8000.0</v>
      </c>
      <c r="J50" s="3">
        <v>1409.0</v>
      </c>
      <c r="K50" s="3">
        <f t="shared" si="3"/>
        <v>1704.89</v>
      </c>
      <c r="L50" s="20">
        <f t="shared" si="4"/>
        <v>0.21311125</v>
      </c>
    </row>
    <row r="51" ht="15.75" customHeight="1">
      <c r="B51" s="3">
        <v>22.0</v>
      </c>
      <c r="C51" s="3">
        <f t="shared" si="5"/>
        <v>170</v>
      </c>
      <c r="E51" s="3">
        <v>50.0</v>
      </c>
      <c r="F51" s="3">
        <v>6.58</v>
      </c>
      <c r="G51" s="20">
        <f t="shared" si="2"/>
        <v>7.9618</v>
      </c>
      <c r="I51" s="3">
        <v>6000.0</v>
      </c>
      <c r="J51" s="3">
        <v>1315.0</v>
      </c>
      <c r="K51" s="3">
        <f t="shared" si="3"/>
        <v>1591.15</v>
      </c>
      <c r="L51" s="20">
        <f t="shared" si="4"/>
        <v>0.2651916667</v>
      </c>
    </row>
    <row r="52" ht="15.75" customHeight="1">
      <c r="B52" s="3">
        <v>25.4</v>
      </c>
      <c r="C52" s="3">
        <f t="shared" si="5"/>
        <v>200</v>
      </c>
      <c r="E52" s="3">
        <v>50.0</v>
      </c>
      <c r="F52" s="3">
        <v>8.58</v>
      </c>
      <c r="G52" s="20">
        <f t="shared" si="2"/>
        <v>10.3818</v>
      </c>
      <c r="I52" s="3">
        <v>4500.0</v>
      </c>
      <c r="J52" s="3">
        <v>1294.0</v>
      </c>
      <c r="K52" s="3">
        <f t="shared" si="3"/>
        <v>1565.74</v>
      </c>
      <c r="L52" s="20">
        <f t="shared" si="4"/>
        <v>0.3479422222</v>
      </c>
    </row>
    <row r="53" ht="15.75" customHeight="1">
      <c r="B53" s="3">
        <v>25.5</v>
      </c>
      <c r="C53" s="3">
        <f t="shared" si="5"/>
        <v>200</v>
      </c>
      <c r="E53" s="3">
        <v>25.0</v>
      </c>
      <c r="F53" s="3">
        <v>13.18</v>
      </c>
      <c r="G53" s="20">
        <f t="shared" si="2"/>
        <v>15.9478</v>
      </c>
      <c r="I53" s="3">
        <v>3100.0</v>
      </c>
      <c r="J53" s="3">
        <v>1363.0</v>
      </c>
      <c r="K53" s="3">
        <f t="shared" si="3"/>
        <v>1649.23</v>
      </c>
      <c r="L53" s="20">
        <f t="shared" si="4"/>
        <v>0.5320096774</v>
      </c>
    </row>
    <row r="54" ht="15.75" customHeight="1">
      <c r="B54" s="3">
        <v>32.0</v>
      </c>
      <c r="C54" s="3">
        <f t="shared" si="5"/>
        <v>250</v>
      </c>
      <c r="E54" s="3">
        <v>25.0</v>
      </c>
      <c r="F54" s="3">
        <v>18.91</v>
      </c>
      <c r="G54" s="20">
        <f t="shared" si="2"/>
        <v>22.8811</v>
      </c>
      <c r="I54" s="3">
        <v>2100.0</v>
      </c>
      <c r="J54" s="3">
        <v>1326.0</v>
      </c>
      <c r="K54" s="3">
        <f t="shared" si="3"/>
        <v>1604.46</v>
      </c>
      <c r="L54" s="20">
        <f t="shared" si="4"/>
        <v>0.7640285714</v>
      </c>
    </row>
    <row r="55" ht="15.75" customHeight="1">
      <c r="B55" s="3">
        <v>38.0</v>
      </c>
      <c r="C55" s="3">
        <f t="shared" si="5"/>
        <v>300</v>
      </c>
      <c r="E55" s="3">
        <v>20.0</v>
      </c>
      <c r="F55" s="3">
        <v>24.47</v>
      </c>
    </row>
    <row r="56" ht="15.75" customHeight="1"/>
    <row r="57" ht="15.75" customHeight="1">
      <c r="B57" s="3" t="s">
        <v>693</v>
      </c>
    </row>
    <row r="58" ht="15.75" customHeight="1">
      <c r="B58" s="3" t="s">
        <v>694</v>
      </c>
    </row>
    <row r="59" ht="15.75" customHeight="1">
      <c r="B59" s="3" t="s">
        <v>695</v>
      </c>
    </row>
    <row r="60" ht="15.75" customHeight="1">
      <c r="B60" s="3" t="s">
        <v>460</v>
      </c>
    </row>
    <row r="61" ht="15.75" customHeight="1">
      <c r="B61" s="636" t="s">
        <v>696</v>
      </c>
      <c r="C61" s="637"/>
      <c r="D61" s="637"/>
      <c r="E61" s="637"/>
      <c r="F61" s="637"/>
      <c r="G61" s="637"/>
      <c r="H61" s="637"/>
      <c r="I61" s="637"/>
      <c r="J61" s="637"/>
      <c r="K61" s="637"/>
      <c r="L61" s="637"/>
      <c r="M61" s="637"/>
      <c r="N61" s="637"/>
      <c r="O61" s="637"/>
    </row>
    <row r="62" ht="15.75" customHeight="1">
      <c r="B62" s="636" t="s">
        <v>697</v>
      </c>
      <c r="C62" s="637"/>
      <c r="D62" s="637"/>
      <c r="E62" s="637"/>
      <c r="F62" s="637"/>
      <c r="G62" s="637"/>
      <c r="H62" s="637"/>
      <c r="I62" s="637"/>
      <c r="J62" s="637"/>
      <c r="K62" s="637"/>
      <c r="L62" s="637"/>
      <c r="M62" s="637"/>
      <c r="N62" s="637"/>
      <c r="O62" s="637"/>
    </row>
    <row r="63" ht="15.75" customHeight="1">
      <c r="B63" s="636" t="s">
        <v>698</v>
      </c>
      <c r="C63" s="637"/>
      <c r="D63" s="637"/>
      <c r="E63" s="637"/>
      <c r="F63" s="637"/>
      <c r="G63" s="637"/>
      <c r="H63" s="637"/>
      <c r="I63" s="637"/>
      <c r="J63" s="637"/>
      <c r="K63" s="637"/>
      <c r="L63" s="637"/>
      <c r="M63" s="637"/>
      <c r="N63" s="637"/>
      <c r="O63" s="637"/>
    </row>
    <row r="64" ht="15.75" customHeight="1">
      <c r="B64" s="636" t="s">
        <v>699</v>
      </c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A82" s="3" t="s">
        <v>700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640" t="s">
        <v>701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 t="s">
        <v>702</v>
      </c>
      <c r="F84" s="641" t="s">
        <v>703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641" t="s">
        <v>704</v>
      </c>
      <c r="B85" s="641" t="s">
        <v>705</v>
      </c>
      <c r="C85" s="3"/>
      <c r="D85" s="3"/>
      <c r="E85" s="3"/>
      <c r="F85" s="641" t="s">
        <v>706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678</v>
      </c>
      <c r="T85" s="642" t="s">
        <v>707</v>
      </c>
      <c r="U85" s="3"/>
    </row>
    <row r="86" ht="15.75" customHeight="1">
      <c r="A86" s="3" t="s">
        <v>708</v>
      </c>
      <c r="B86" s="641" t="s">
        <v>709</v>
      </c>
      <c r="C86" s="3"/>
      <c r="D86" s="3"/>
      <c r="E86" s="36" t="s">
        <v>257</v>
      </c>
      <c r="F86" s="643" t="s">
        <v>710</v>
      </c>
      <c r="G86" s="644"/>
      <c r="H86" s="36" t="s">
        <v>711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>
        <v>2.0</v>
      </c>
      <c r="T86" s="642">
        <v>2.7</v>
      </c>
      <c r="U86" s="3"/>
    </row>
    <row r="87" ht="15.75" customHeight="1">
      <c r="A87" s="641"/>
      <c r="B87" s="3"/>
      <c r="C87" s="3"/>
      <c r="D87" s="3"/>
      <c r="E87" s="45">
        <v>1.0</v>
      </c>
      <c r="F87" s="452">
        <f t="shared" ref="F87:F93" si="6">_xlfn.CEILING.PRECISE($T$86*S86*2,0.5)</f>
        <v>11</v>
      </c>
      <c r="G87" s="452"/>
      <c r="H87" s="452">
        <f t="shared" ref="H87:H93" si="7">_xlfn.CEILING.PRECISE($T$87*S86*2,0.5)</f>
        <v>13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>
        <v>1.9</v>
      </c>
      <c r="T87" s="642">
        <v>3.2</v>
      </c>
      <c r="U87" s="3"/>
    </row>
    <row r="88" ht="15.75" customHeight="1">
      <c r="A88" s="645"/>
      <c r="E88" s="45" t="s">
        <v>179</v>
      </c>
      <c r="F88" s="452">
        <f t="shared" si="6"/>
        <v>10.5</v>
      </c>
      <c r="G88" s="452"/>
      <c r="H88" s="452">
        <f t="shared" si="7"/>
        <v>12.5</v>
      </c>
      <c r="S88" s="3">
        <v>1.8</v>
      </c>
    </row>
    <row r="89" ht="15.75" customHeight="1">
      <c r="E89" s="45" t="s">
        <v>180</v>
      </c>
      <c r="F89" s="452">
        <f t="shared" si="6"/>
        <v>10</v>
      </c>
      <c r="G89" s="452"/>
      <c r="H89" s="452">
        <f t="shared" si="7"/>
        <v>12</v>
      </c>
      <c r="S89" s="3">
        <v>1.7</v>
      </c>
    </row>
    <row r="90" ht="15.75" customHeight="1">
      <c r="E90" s="45" t="s">
        <v>181</v>
      </c>
      <c r="F90" s="452">
        <f t="shared" si="6"/>
        <v>9.5</v>
      </c>
      <c r="G90" s="452"/>
      <c r="H90" s="452">
        <f t="shared" si="7"/>
        <v>11</v>
      </c>
      <c r="S90" s="3">
        <v>1.6</v>
      </c>
    </row>
    <row r="91" ht="15.75" customHeight="1">
      <c r="E91" s="45" t="s">
        <v>182</v>
      </c>
      <c r="F91" s="452">
        <f t="shared" si="6"/>
        <v>9</v>
      </c>
      <c r="G91" s="452"/>
      <c r="H91" s="452">
        <f t="shared" si="7"/>
        <v>10.5</v>
      </c>
      <c r="S91" s="3">
        <v>1.5</v>
      </c>
    </row>
    <row r="92" ht="15.75" customHeight="1">
      <c r="E92" s="45" t="s">
        <v>18</v>
      </c>
      <c r="F92" s="452">
        <f t="shared" si="6"/>
        <v>8.5</v>
      </c>
      <c r="G92" s="452"/>
      <c r="H92" s="452">
        <f t="shared" si="7"/>
        <v>10</v>
      </c>
      <c r="S92" s="3">
        <v>1.4</v>
      </c>
    </row>
    <row r="93" ht="15.75" customHeight="1">
      <c r="E93" s="45" t="s">
        <v>19</v>
      </c>
      <c r="F93" s="452">
        <f t="shared" si="6"/>
        <v>8</v>
      </c>
      <c r="G93" s="452"/>
      <c r="H93" s="452">
        <f t="shared" si="7"/>
        <v>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A104" s="3" t="s">
        <v>712</v>
      </c>
    </row>
    <row r="105" ht="15.75" customHeight="1"/>
    <row r="106" ht="15.75" customHeight="1">
      <c r="A106" s="3" t="s">
        <v>713</v>
      </c>
      <c r="C106" s="3" t="s">
        <v>714</v>
      </c>
    </row>
    <row r="107" ht="15.75" customHeight="1">
      <c r="A107" s="3" t="s">
        <v>98</v>
      </c>
    </row>
    <row r="108" ht="15.75" customHeight="1"/>
    <row r="109" ht="15.75" customHeight="1"/>
    <row r="110" ht="15.75" customHeight="1">
      <c r="A110" s="3" t="s">
        <v>715</v>
      </c>
    </row>
    <row r="111" ht="15.75" customHeight="1">
      <c r="A111" s="3" t="s">
        <v>716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3:E3"/>
    <mergeCell ref="D4:E4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9" width="11.43"/>
    <col customWidth="1" min="10" max="10" width="18.29"/>
    <col customWidth="1" min="11" max="14" width="11.43"/>
    <col customWidth="1" min="15" max="15" width="14.14"/>
    <col customWidth="1" min="16" max="22" width="11.43"/>
    <col customWidth="1" min="23" max="26" width="10.71"/>
  </cols>
  <sheetData>
    <row r="1">
      <c r="A1" s="3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>
        <v>1.1</v>
      </c>
      <c r="E2" s="3">
        <v>1.1</v>
      </c>
      <c r="F2" s="3">
        <v>1.1</v>
      </c>
      <c r="G2" s="3">
        <v>1.1</v>
      </c>
      <c r="H2" s="3"/>
      <c r="I2" s="3"/>
      <c r="J2" s="3"/>
      <c r="K2" s="3"/>
      <c r="L2" s="3"/>
      <c r="M2" s="3">
        <v>1.2</v>
      </c>
      <c r="N2" s="3">
        <v>1.2</v>
      </c>
      <c r="O2" s="3">
        <v>1.2</v>
      </c>
      <c r="P2" s="3">
        <v>1.2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646" t="s">
        <v>543</v>
      </c>
      <c r="E4" s="647"/>
      <c r="F4" s="647"/>
      <c r="G4" s="3"/>
      <c r="H4" s="3"/>
      <c r="I4" s="3"/>
      <c r="J4" s="3"/>
      <c r="K4" s="3"/>
      <c r="L4" s="3"/>
      <c r="M4" s="646" t="s">
        <v>717</v>
      </c>
      <c r="N4" s="647"/>
      <c r="O4" s="647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648" t="s">
        <v>718</v>
      </c>
      <c r="E5" s="649" t="s">
        <v>719</v>
      </c>
      <c r="F5" s="649" t="s">
        <v>720</v>
      </c>
      <c r="G5" s="648" t="s">
        <v>355</v>
      </c>
      <c r="H5" s="648"/>
      <c r="I5" s="648"/>
      <c r="J5" s="648"/>
      <c r="K5" s="3"/>
      <c r="L5" s="3"/>
      <c r="M5" s="649" t="s">
        <v>721</v>
      </c>
      <c r="N5" s="649" t="s">
        <v>722</v>
      </c>
      <c r="O5" s="649" t="s">
        <v>723</v>
      </c>
      <c r="P5" s="649" t="s">
        <v>355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650" t="s">
        <v>724</v>
      </c>
      <c r="C6" s="651"/>
      <c r="D6" s="3"/>
      <c r="E6" s="652" t="s">
        <v>725</v>
      </c>
      <c r="F6" s="652" t="s">
        <v>725</v>
      </c>
      <c r="G6" s="652" t="s">
        <v>725</v>
      </c>
      <c r="H6" s="648"/>
      <c r="I6" s="648"/>
      <c r="J6" s="3"/>
      <c r="K6" s="650" t="s">
        <v>724</v>
      </c>
      <c r="L6" s="651"/>
      <c r="M6" s="652" t="s">
        <v>725</v>
      </c>
      <c r="N6" s="652" t="s">
        <v>725</v>
      </c>
      <c r="O6" s="652" t="s">
        <v>725</v>
      </c>
      <c r="P6" s="652" t="s">
        <v>725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653">
        <v>5.0</v>
      </c>
      <c r="C7" s="653">
        <v>5.0</v>
      </c>
      <c r="D7" s="113">
        <f t="shared" ref="D7:D18" si="1">B7*C7*$D$20</f>
        <v>594052.1359</v>
      </c>
      <c r="E7" s="113">
        <f t="shared" ref="E7:E18" si="2">B7*C7*$E$20</f>
        <v>1379192.272</v>
      </c>
      <c r="F7" s="113">
        <f t="shared" ref="F7:F18" si="3">B7*C7*$F$20</f>
        <v>3234064.262</v>
      </c>
      <c r="G7" s="113">
        <f t="shared" ref="G7:G18" si="4">B7*C7*$G$20</f>
        <v>4461063.852</v>
      </c>
      <c r="H7" s="113"/>
      <c r="I7" s="113"/>
      <c r="J7" s="113"/>
      <c r="K7" s="653">
        <v>5.0</v>
      </c>
      <c r="L7" s="653">
        <v>5.0</v>
      </c>
      <c r="M7" s="113">
        <f t="shared" ref="M7:M18" si="5">K7*L7*$M$49</f>
        <v>103327.8221</v>
      </c>
      <c r="N7" s="113">
        <f t="shared" ref="N7:N18" si="6">L7*K7*N$49</f>
        <v>229528.3282</v>
      </c>
      <c r="O7" s="113">
        <f t="shared" ref="O7:O18" si="7">K7*L7*O$49</f>
        <v>401448.1965</v>
      </c>
      <c r="P7" s="113">
        <f t="shared" ref="P7:P18" si="8">L7*K7*P$49</f>
        <v>688170.6582</v>
      </c>
      <c r="Q7" s="3"/>
      <c r="R7" s="431"/>
      <c r="S7" s="431"/>
      <c r="T7" s="431"/>
      <c r="U7" s="431"/>
      <c r="V7" s="3"/>
      <c r="W7" s="3"/>
      <c r="X7" s="3"/>
      <c r="Y7" s="3"/>
      <c r="Z7" s="3"/>
    </row>
    <row r="8">
      <c r="A8" s="3"/>
      <c r="B8" s="653">
        <v>5.0</v>
      </c>
      <c r="C8" s="653">
        <v>7.0</v>
      </c>
      <c r="D8" s="555">
        <f t="shared" si="1"/>
        <v>831672.9902</v>
      </c>
      <c r="E8" s="555">
        <f t="shared" si="2"/>
        <v>1930869.18</v>
      </c>
      <c r="F8" s="555">
        <f t="shared" si="3"/>
        <v>4527689.967</v>
      </c>
      <c r="G8" s="555">
        <f t="shared" si="4"/>
        <v>6245489.393</v>
      </c>
      <c r="H8" s="113"/>
      <c r="I8" s="113"/>
      <c r="J8" s="113"/>
      <c r="K8" s="653">
        <v>5.0</v>
      </c>
      <c r="L8" s="653">
        <v>7.0</v>
      </c>
      <c r="M8" s="555">
        <f t="shared" si="5"/>
        <v>144658.951</v>
      </c>
      <c r="N8" s="555">
        <f t="shared" si="6"/>
        <v>321339.6594</v>
      </c>
      <c r="O8" s="555">
        <f t="shared" si="7"/>
        <v>562027.475</v>
      </c>
      <c r="P8" s="555">
        <f t="shared" si="8"/>
        <v>963438.9215</v>
      </c>
      <c r="Q8" s="3"/>
      <c r="R8" s="431"/>
      <c r="S8" s="431"/>
      <c r="T8" s="431"/>
      <c r="U8" s="431"/>
      <c r="V8" s="3"/>
      <c r="W8" s="3"/>
      <c r="X8" s="3"/>
      <c r="Y8" s="3"/>
      <c r="Z8" s="3"/>
    </row>
    <row r="9">
      <c r="A9" s="3"/>
      <c r="B9" s="653">
        <v>5.0</v>
      </c>
      <c r="C9" s="653">
        <v>9.0</v>
      </c>
      <c r="D9" s="113">
        <f t="shared" si="1"/>
        <v>1069293.845</v>
      </c>
      <c r="E9" s="113">
        <f t="shared" si="2"/>
        <v>2482546.089</v>
      </c>
      <c r="F9" s="113">
        <f t="shared" si="3"/>
        <v>5821315.672</v>
      </c>
      <c r="G9" s="113">
        <f t="shared" si="4"/>
        <v>8029914.934</v>
      </c>
      <c r="H9" s="113"/>
      <c r="I9" s="113"/>
      <c r="J9" s="113"/>
      <c r="K9" s="653">
        <v>5.0</v>
      </c>
      <c r="L9" s="653">
        <v>9.0</v>
      </c>
      <c r="M9" s="113">
        <f t="shared" si="5"/>
        <v>185990.0798</v>
      </c>
      <c r="N9" s="113">
        <f t="shared" si="6"/>
        <v>413150.9907</v>
      </c>
      <c r="O9" s="113">
        <f t="shared" si="7"/>
        <v>722606.7536</v>
      </c>
      <c r="P9" s="113">
        <f t="shared" si="8"/>
        <v>1238707.185</v>
      </c>
      <c r="Q9" s="3"/>
      <c r="R9" s="431"/>
      <c r="S9" s="431"/>
      <c r="T9" s="431"/>
      <c r="U9" s="431"/>
      <c r="V9" s="3"/>
      <c r="W9" s="3"/>
      <c r="X9" s="3"/>
      <c r="Y9" s="3"/>
      <c r="Z9" s="3"/>
    </row>
    <row r="10">
      <c r="A10" s="3"/>
      <c r="B10" s="653">
        <v>5.0</v>
      </c>
      <c r="C10" s="653">
        <v>14.0</v>
      </c>
      <c r="D10" s="113">
        <f t="shared" si="1"/>
        <v>1663345.98</v>
      </c>
      <c r="E10" s="113">
        <f t="shared" si="2"/>
        <v>3861738.36</v>
      </c>
      <c r="F10" s="113">
        <f t="shared" si="3"/>
        <v>9055379.933</v>
      </c>
      <c r="G10" s="113">
        <f t="shared" si="4"/>
        <v>12490978.79</v>
      </c>
      <c r="H10" s="113"/>
      <c r="I10" s="113"/>
      <c r="J10" s="113"/>
      <c r="K10" s="653">
        <v>5.0</v>
      </c>
      <c r="L10" s="653">
        <v>14.0</v>
      </c>
      <c r="M10" s="113">
        <f t="shared" si="5"/>
        <v>289317.902</v>
      </c>
      <c r="N10" s="113">
        <f t="shared" si="6"/>
        <v>642679.3188</v>
      </c>
      <c r="O10" s="113">
        <f t="shared" si="7"/>
        <v>1124054.95</v>
      </c>
      <c r="P10" s="113">
        <f t="shared" si="8"/>
        <v>1926877.843</v>
      </c>
      <c r="Q10" s="3"/>
      <c r="R10" s="431"/>
      <c r="S10" s="431"/>
      <c r="T10" s="431"/>
      <c r="U10" s="431"/>
      <c r="V10" s="3"/>
      <c r="W10" s="3"/>
      <c r="X10" s="3"/>
      <c r="Y10" s="3"/>
      <c r="Z10" s="3"/>
    </row>
    <row r="11">
      <c r="A11" s="3"/>
      <c r="B11" s="653">
        <v>6.0</v>
      </c>
      <c r="C11" s="653">
        <v>4.0</v>
      </c>
      <c r="D11" s="113">
        <f t="shared" si="1"/>
        <v>570290.0504</v>
      </c>
      <c r="E11" s="113">
        <f t="shared" si="2"/>
        <v>1324024.581</v>
      </c>
      <c r="F11" s="113">
        <f t="shared" si="3"/>
        <v>3104701.691</v>
      </c>
      <c r="G11" s="113">
        <f t="shared" si="4"/>
        <v>4282621.298</v>
      </c>
      <c r="H11" s="113"/>
      <c r="I11" s="113"/>
      <c r="J11" s="113"/>
      <c r="K11" s="653">
        <v>6.0</v>
      </c>
      <c r="L11" s="653">
        <v>4.0</v>
      </c>
      <c r="M11" s="113">
        <f t="shared" si="5"/>
        <v>99194.70925</v>
      </c>
      <c r="N11" s="113">
        <f t="shared" si="6"/>
        <v>220347.195</v>
      </c>
      <c r="O11" s="113">
        <f t="shared" si="7"/>
        <v>385390.2686</v>
      </c>
      <c r="P11" s="113">
        <f t="shared" si="8"/>
        <v>660643.8319</v>
      </c>
      <c r="Q11" s="3"/>
      <c r="R11" s="431"/>
      <c r="S11" s="431"/>
      <c r="T11" s="431"/>
      <c r="U11" s="431"/>
      <c r="V11" s="3"/>
      <c r="W11" s="3"/>
      <c r="X11" s="3"/>
      <c r="Y11" s="3"/>
      <c r="Z11" s="3"/>
    </row>
    <row r="12">
      <c r="A12" s="3"/>
      <c r="B12" s="653">
        <v>4.0</v>
      </c>
      <c r="C12" s="653">
        <v>12.0</v>
      </c>
      <c r="D12" s="113">
        <f t="shared" si="1"/>
        <v>1140580.101</v>
      </c>
      <c r="E12" s="113">
        <f t="shared" si="2"/>
        <v>2648049.161</v>
      </c>
      <c r="F12" s="113">
        <f t="shared" si="3"/>
        <v>6209403.383</v>
      </c>
      <c r="G12" s="113">
        <f t="shared" si="4"/>
        <v>8565242.596</v>
      </c>
      <c r="H12" s="113"/>
      <c r="I12" s="113"/>
      <c r="J12" s="113"/>
      <c r="K12" s="653">
        <v>4.0</v>
      </c>
      <c r="L12" s="653">
        <v>12.0</v>
      </c>
      <c r="M12" s="113">
        <f t="shared" si="5"/>
        <v>198389.4185</v>
      </c>
      <c r="N12" s="113">
        <f t="shared" si="6"/>
        <v>440694.39</v>
      </c>
      <c r="O12" s="113">
        <f t="shared" si="7"/>
        <v>770780.5372</v>
      </c>
      <c r="P12" s="113">
        <f t="shared" si="8"/>
        <v>1321287.664</v>
      </c>
      <c r="Q12" s="3"/>
      <c r="R12" s="431"/>
      <c r="S12" s="431"/>
      <c r="T12" s="431"/>
      <c r="U12" s="431"/>
      <c r="V12" s="3"/>
      <c r="W12" s="3"/>
      <c r="X12" s="3"/>
      <c r="Y12" s="3"/>
      <c r="Z12" s="3"/>
    </row>
    <row r="13">
      <c r="A13" s="3"/>
      <c r="B13" s="653">
        <v>6.0</v>
      </c>
      <c r="C13" s="653">
        <v>8.0</v>
      </c>
      <c r="D13" s="113">
        <f t="shared" si="1"/>
        <v>1140580.101</v>
      </c>
      <c r="E13" s="113">
        <f t="shared" si="2"/>
        <v>2648049.161</v>
      </c>
      <c r="F13" s="113">
        <f t="shared" si="3"/>
        <v>6209403.383</v>
      </c>
      <c r="G13" s="113">
        <f t="shared" si="4"/>
        <v>8565242.596</v>
      </c>
      <c r="H13" s="113"/>
      <c r="I13" s="113"/>
      <c r="J13" s="113"/>
      <c r="K13" s="653">
        <v>6.0</v>
      </c>
      <c r="L13" s="653">
        <v>8.0</v>
      </c>
      <c r="M13" s="113">
        <f t="shared" si="5"/>
        <v>198389.4185</v>
      </c>
      <c r="N13" s="113">
        <f t="shared" si="6"/>
        <v>440694.39</v>
      </c>
      <c r="O13" s="113">
        <f t="shared" si="7"/>
        <v>770780.5372</v>
      </c>
      <c r="P13" s="113">
        <f t="shared" si="8"/>
        <v>1321287.664</v>
      </c>
      <c r="Q13" s="3"/>
      <c r="R13" s="431"/>
      <c r="S13" s="431"/>
      <c r="T13" s="431"/>
      <c r="U13" s="431"/>
      <c r="V13" s="3"/>
      <c r="W13" s="3"/>
      <c r="X13" s="3"/>
      <c r="Y13" s="3"/>
      <c r="Z13" s="3"/>
    </row>
    <row r="14">
      <c r="A14" s="3"/>
      <c r="B14" s="653">
        <v>7.0</v>
      </c>
      <c r="C14" s="653">
        <v>10.0</v>
      </c>
      <c r="D14" s="113">
        <f t="shared" si="1"/>
        <v>1663345.98</v>
      </c>
      <c r="E14" s="113">
        <f t="shared" si="2"/>
        <v>3861738.36</v>
      </c>
      <c r="F14" s="113">
        <f t="shared" si="3"/>
        <v>9055379.933</v>
      </c>
      <c r="G14" s="113">
        <f t="shared" si="4"/>
        <v>12490978.79</v>
      </c>
      <c r="H14" s="113"/>
      <c r="I14" s="113"/>
      <c r="J14" s="113"/>
      <c r="K14" s="653">
        <v>7.0</v>
      </c>
      <c r="L14" s="653">
        <v>10.0</v>
      </c>
      <c r="M14" s="113">
        <f t="shared" si="5"/>
        <v>289317.902</v>
      </c>
      <c r="N14" s="113">
        <f t="shared" si="6"/>
        <v>642679.3188</v>
      </c>
      <c r="O14" s="113">
        <f t="shared" si="7"/>
        <v>1124054.95</v>
      </c>
      <c r="P14" s="113">
        <f t="shared" si="8"/>
        <v>1926877.843</v>
      </c>
      <c r="Q14" s="3"/>
      <c r="R14" s="431"/>
      <c r="S14" s="431"/>
      <c r="T14" s="431"/>
      <c r="U14" s="431"/>
      <c r="V14" s="3"/>
      <c r="W14" s="3"/>
      <c r="X14" s="3"/>
      <c r="Y14" s="3"/>
      <c r="Z14" s="3"/>
    </row>
    <row r="15">
      <c r="A15" s="3"/>
      <c r="B15" s="653">
        <v>7.0</v>
      </c>
      <c r="C15" s="653">
        <v>15.0</v>
      </c>
      <c r="D15" s="113">
        <f t="shared" si="1"/>
        <v>2495018.971</v>
      </c>
      <c r="E15" s="113">
        <f t="shared" si="2"/>
        <v>5792607.541</v>
      </c>
      <c r="F15" s="113">
        <f t="shared" si="3"/>
        <v>13583069.9</v>
      </c>
      <c r="G15" s="113">
        <f t="shared" si="4"/>
        <v>18736468.18</v>
      </c>
      <c r="H15" s="113"/>
      <c r="I15" s="113"/>
      <c r="J15" s="113"/>
      <c r="K15" s="653">
        <v>7.0</v>
      </c>
      <c r="L15" s="653">
        <v>15.0</v>
      </c>
      <c r="M15" s="113">
        <f t="shared" si="5"/>
        <v>433976.853</v>
      </c>
      <c r="N15" s="113">
        <f t="shared" si="6"/>
        <v>964018.9782</v>
      </c>
      <c r="O15" s="113">
        <f t="shared" si="7"/>
        <v>1686082.425</v>
      </c>
      <c r="P15" s="113">
        <f t="shared" si="8"/>
        <v>2890316.764</v>
      </c>
      <c r="Q15" s="3"/>
      <c r="R15" s="431"/>
      <c r="S15" s="431"/>
      <c r="T15" s="431"/>
      <c r="U15" s="431"/>
      <c r="V15" s="3"/>
      <c r="W15" s="3"/>
      <c r="X15" s="3"/>
      <c r="Y15" s="3"/>
      <c r="Z15" s="3"/>
    </row>
    <row r="16">
      <c r="A16" s="3"/>
      <c r="B16" s="653">
        <v>8.0</v>
      </c>
      <c r="C16" s="653">
        <v>12.0</v>
      </c>
      <c r="D16" s="113">
        <f t="shared" si="1"/>
        <v>2281160.202</v>
      </c>
      <c r="E16" s="113">
        <f t="shared" si="2"/>
        <v>5296098.323</v>
      </c>
      <c r="F16" s="113">
        <f t="shared" si="3"/>
        <v>12418806.77</v>
      </c>
      <c r="G16" s="113">
        <f t="shared" si="4"/>
        <v>17130485.19</v>
      </c>
      <c r="H16" s="113"/>
      <c r="I16" s="113"/>
      <c r="J16" s="113"/>
      <c r="K16" s="653">
        <v>8.0</v>
      </c>
      <c r="L16" s="653">
        <v>12.0</v>
      </c>
      <c r="M16" s="113">
        <f t="shared" si="5"/>
        <v>396778.837</v>
      </c>
      <c r="N16" s="113">
        <f t="shared" si="6"/>
        <v>881388.7801</v>
      </c>
      <c r="O16" s="113">
        <f t="shared" si="7"/>
        <v>1541561.074</v>
      </c>
      <c r="P16" s="113">
        <f t="shared" si="8"/>
        <v>2642575.327</v>
      </c>
      <c r="Q16" s="3"/>
      <c r="R16" s="431"/>
      <c r="S16" s="431"/>
      <c r="T16" s="431"/>
      <c r="U16" s="431"/>
      <c r="V16" s="3"/>
      <c r="W16" s="3"/>
      <c r="X16" s="3"/>
      <c r="Y16" s="3"/>
      <c r="Z16" s="3"/>
    </row>
    <row r="17">
      <c r="A17" s="3"/>
      <c r="B17" s="653">
        <v>10.0</v>
      </c>
      <c r="C17" s="653">
        <v>15.0</v>
      </c>
      <c r="D17" s="113">
        <f t="shared" si="1"/>
        <v>3564312.815</v>
      </c>
      <c r="E17" s="113">
        <f t="shared" si="2"/>
        <v>8275153.629</v>
      </c>
      <c r="F17" s="113">
        <f t="shared" si="3"/>
        <v>19404385.57</v>
      </c>
      <c r="G17" s="113">
        <f t="shared" si="4"/>
        <v>26766383.11</v>
      </c>
      <c r="H17" s="113"/>
      <c r="I17" s="113"/>
      <c r="J17" s="113"/>
      <c r="K17" s="653">
        <v>10.0</v>
      </c>
      <c r="L17" s="653">
        <v>15.0</v>
      </c>
      <c r="M17" s="113">
        <f t="shared" si="5"/>
        <v>619966.9328</v>
      </c>
      <c r="N17" s="113">
        <f t="shared" si="6"/>
        <v>1377169.969</v>
      </c>
      <c r="O17" s="113">
        <f t="shared" si="7"/>
        <v>2408689.179</v>
      </c>
      <c r="P17" s="113">
        <f t="shared" si="8"/>
        <v>4129023.949</v>
      </c>
      <c r="Q17" s="3"/>
      <c r="R17" s="431"/>
      <c r="S17" s="431"/>
      <c r="T17" s="431"/>
      <c r="U17" s="431"/>
      <c r="V17" s="3"/>
      <c r="W17" s="3"/>
      <c r="X17" s="3"/>
      <c r="Y17" s="3"/>
      <c r="Z17" s="3"/>
    </row>
    <row r="18">
      <c r="A18" s="3"/>
      <c r="B18" s="653">
        <v>10.0</v>
      </c>
      <c r="C18" s="653">
        <v>10.0</v>
      </c>
      <c r="D18" s="113">
        <f t="shared" si="1"/>
        <v>2376208.543</v>
      </c>
      <c r="E18" s="113">
        <f t="shared" si="2"/>
        <v>5516769.086</v>
      </c>
      <c r="F18" s="113">
        <f t="shared" si="3"/>
        <v>12936257.05</v>
      </c>
      <c r="G18" s="113">
        <f t="shared" si="4"/>
        <v>17844255.41</v>
      </c>
      <c r="H18" s="113"/>
      <c r="I18" s="113"/>
      <c r="J18" s="113"/>
      <c r="K18" s="653">
        <v>10.0</v>
      </c>
      <c r="L18" s="653">
        <v>10.0</v>
      </c>
      <c r="M18" s="113">
        <f t="shared" si="5"/>
        <v>413311.2885</v>
      </c>
      <c r="N18" s="113">
        <f t="shared" si="6"/>
        <v>918113.3126</v>
      </c>
      <c r="O18" s="113">
        <f t="shared" si="7"/>
        <v>1605792.786</v>
      </c>
      <c r="P18" s="113">
        <f t="shared" si="8"/>
        <v>2752682.633</v>
      </c>
      <c r="Q18" s="3"/>
      <c r="R18" s="431"/>
      <c r="S18" s="431"/>
      <c r="T18" s="431"/>
      <c r="U18" s="431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113" t="str">
        <f>#REF!*G$2</f>
        <v>#REF!</v>
      </c>
      <c r="H19" s="564"/>
      <c r="I19" s="564"/>
      <c r="J19" s="564"/>
      <c r="K19" s="3"/>
      <c r="L19" s="3"/>
      <c r="M19" s="3"/>
      <c r="N19" s="3"/>
      <c r="O19" s="3"/>
      <c r="P19" s="3"/>
      <c r="Q19" s="3"/>
      <c r="R19" s="431"/>
      <c r="S19" s="431"/>
      <c r="T19" s="431"/>
      <c r="U19" s="431"/>
      <c r="V19" s="3"/>
      <c r="W19" s="3"/>
      <c r="X19" s="3"/>
      <c r="Y19" s="3"/>
      <c r="Z19" s="3"/>
    </row>
    <row r="20">
      <c r="A20" s="3"/>
      <c r="B20" s="3"/>
      <c r="C20" s="654" t="s">
        <v>726</v>
      </c>
      <c r="D20" s="655">
        <f t="shared" ref="D20:G20" si="9">D43</f>
        <v>23762.08543</v>
      </c>
      <c r="E20" s="655">
        <f t="shared" si="9"/>
        <v>55167.69086</v>
      </c>
      <c r="F20" s="655">
        <f t="shared" si="9"/>
        <v>129362.5705</v>
      </c>
      <c r="G20" s="655">
        <f t="shared" si="9"/>
        <v>178442.5541</v>
      </c>
      <c r="H20" s="336"/>
      <c r="I20" s="336"/>
      <c r="J20" s="336"/>
      <c r="K20" s="3"/>
      <c r="L20" s="654" t="s">
        <v>726</v>
      </c>
      <c r="M20" s="29">
        <f t="shared" ref="M20:P20" si="10">M49</f>
        <v>4133.112885</v>
      </c>
      <c r="N20" s="29">
        <f t="shared" si="10"/>
        <v>9181.133126</v>
      </c>
      <c r="O20" s="29">
        <f t="shared" si="10"/>
        <v>16057.92786</v>
      </c>
      <c r="P20" s="29">
        <f t="shared" si="10"/>
        <v>27526.82633</v>
      </c>
      <c r="Q20" s="3"/>
      <c r="R20" s="431"/>
      <c r="S20" s="431"/>
      <c r="T20" s="431"/>
      <c r="U20" s="431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20">
        <f t="shared" ref="D21:G21" si="11">D20*1.1</f>
        <v>26138.29398</v>
      </c>
      <c r="E21" s="20">
        <f t="shared" si="11"/>
        <v>60684.45995</v>
      </c>
      <c r="F21" s="20">
        <f t="shared" si="11"/>
        <v>142298.8275</v>
      </c>
      <c r="G21" s="20">
        <f t="shared" si="11"/>
        <v>196286.8095</v>
      </c>
      <c r="H21" s="20"/>
      <c r="I21" s="20"/>
      <c r="J21" s="20"/>
      <c r="K21" s="20"/>
      <c r="L21" s="20"/>
      <c r="M21" s="20">
        <f t="shared" ref="M21:P21" si="12">M20*1.1</f>
        <v>4546.424174</v>
      </c>
      <c r="N21" s="20">
        <f t="shared" si="12"/>
        <v>10099.24644</v>
      </c>
      <c r="O21" s="20">
        <f t="shared" si="12"/>
        <v>17663.72064</v>
      </c>
      <c r="P21" s="20">
        <f t="shared" si="12"/>
        <v>30279.50896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108" t="s">
        <v>727</v>
      </c>
      <c r="D23" s="108"/>
      <c r="E23" s="108"/>
      <c r="F23" s="3"/>
      <c r="G23" s="3"/>
      <c r="H23" s="3"/>
      <c r="I23" s="3"/>
      <c r="J23" s="3"/>
      <c r="K23" s="108" t="s">
        <v>727</v>
      </c>
      <c r="L23" s="32"/>
      <c r="M23" s="32"/>
      <c r="N23" s="32"/>
      <c r="O23" s="32"/>
      <c r="P23" s="32"/>
      <c r="Q23" s="3"/>
      <c r="R23" s="3" t="s">
        <v>200</v>
      </c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5" t="s">
        <v>728</v>
      </c>
      <c r="B24" s="3"/>
      <c r="C24" s="3" t="s">
        <v>671</v>
      </c>
      <c r="D24" s="656" t="s">
        <v>718</v>
      </c>
      <c r="E24" s="657" t="s">
        <v>729</v>
      </c>
      <c r="F24" s="657" t="s">
        <v>723</v>
      </c>
      <c r="G24" s="657" t="s">
        <v>355</v>
      </c>
      <c r="H24" s="135"/>
      <c r="I24" s="135"/>
      <c r="J24" s="135" t="s">
        <v>728</v>
      </c>
      <c r="K24" s="135" t="s">
        <v>730</v>
      </c>
      <c r="L24" s="32" t="s">
        <v>91</v>
      </c>
      <c r="M24" s="656" t="s">
        <v>718</v>
      </c>
      <c r="N24" s="656" t="s">
        <v>731</v>
      </c>
      <c r="O24" s="656" t="s">
        <v>723</v>
      </c>
      <c r="P24" s="656" t="s">
        <v>355</v>
      </c>
      <c r="Q24" s="3"/>
      <c r="R24" s="3" t="s">
        <v>718</v>
      </c>
      <c r="S24" s="3" t="s">
        <v>731</v>
      </c>
      <c r="T24" s="3" t="s">
        <v>723</v>
      </c>
      <c r="U24" s="3" t="s">
        <v>355</v>
      </c>
      <c r="V24" s="3"/>
      <c r="W24" s="3"/>
      <c r="X24" s="3"/>
      <c r="Y24" s="3"/>
      <c r="Z24" s="3"/>
    </row>
    <row r="25" ht="15.75" customHeight="1">
      <c r="A25" s="658">
        <v>4.0</v>
      </c>
      <c r="B25" s="653">
        <v>5.0</v>
      </c>
      <c r="C25" s="653">
        <v>5.0</v>
      </c>
      <c r="D25" s="659">
        <f>B25*C25*$D$43*$R$25</f>
        <v>1485130.34</v>
      </c>
      <c r="E25" s="659">
        <f>B25*C25*$E$43*$S$25</f>
        <v>3310061.452</v>
      </c>
      <c r="F25" s="660">
        <f t="shared" ref="F25:F30" si="13">B25*C25*$F$43*T25</f>
        <v>7438347.802</v>
      </c>
      <c r="G25" s="661">
        <f>B25*C25*$G$43*$U$25</f>
        <v>9814340.475</v>
      </c>
      <c r="H25" s="564"/>
      <c r="I25" s="564"/>
      <c r="J25" s="658">
        <v>4.0</v>
      </c>
      <c r="K25" s="3">
        <v>5.0</v>
      </c>
      <c r="L25" s="32">
        <v>5.0</v>
      </c>
      <c r="M25" s="84">
        <f>K25*L25*$M$49*$R$34</f>
        <v>258319.5553</v>
      </c>
      <c r="N25" s="84">
        <f>L25*K25*N$49*$S$34</f>
        <v>550867.9876</v>
      </c>
      <c r="O25" s="84">
        <f t="shared" ref="O25:O30" si="14">K25*L25*O$49*T34</f>
        <v>923330.8518</v>
      </c>
      <c r="P25" s="84">
        <f t="shared" ref="P25:P30" si="15">L25*K25*P$49*U34</f>
        <v>1513975.448</v>
      </c>
      <c r="Q25" s="3"/>
      <c r="R25" s="392">
        <v>2.5</v>
      </c>
      <c r="S25" s="392">
        <v>2.4</v>
      </c>
      <c r="T25" s="107">
        <v>2.3</v>
      </c>
      <c r="U25" s="108">
        <v>2.2</v>
      </c>
      <c r="V25" s="3"/>
      <c r="W25" s="3"/>
      <c r="X25" s="3"/>
      <c r="Y25" s="3"/>
      <c r="Z25" s="3"/>
    </row>
    <row r="26" ht="15.75" customHeight="1">
      <c r="A26" s="658">
        <v>5.0</v>
      </c>
      <c r="B26" s="653">
        <v>6.0</v>
      </c>
      <c r="C26" s="653">
        <v>6.0</v>
      </c>
      <c r="D26" s="659">
        <f>B26*C26*$D$43*$R$26</f>
        <v>2053044.182</v>
      </c>
      <c r="E26" s="659">
        <f>B26*C26*$E$43*$S$26</f>
        <v>4567884.803</v>
      </c>
      <c r="F26" s="660">
        <f t="shared" si="13"/>
        <v>10245515.58</v>
      </c>
      <c r="G26" s="661">
        <f>B26*C26*$G$43*$U$26</f>
        <v>13490257.09</v>
      </c>
      <c r="H26" s="564"/>
      <c r="I26" s="564"/>
      <c r="J26" s="658">
        <v>5.0</v>
      </c>
      <c r="K26" s="3">
        <v>6.0</v>
      </c>
      <c r="L26" s="32">
        <v>6.0</v>
      </c>
      <c r="M26" s="84">
        <f>K26*L26*$M$49*$R$35</f>
        <v>357100.9533</v>
      </c>
      <c r="N26" s="84">
        <f>L26*K26*N$49*$S$35</f>
        <v>760197.8228</v>
      </c>
      <c r="O26" s="84">
        <f t="shared" si="14"/>
        <v>1271787.886</v>
      </c>
      <c r="P26" s="84">
        <f t="shared" si="15"/>
        <v>2081028.07</v>
      </c>
      <c r="Q26" s="3"/>
      <c r="R26" s="392">
        <v>2.4</v>
      </c>
      <c r="S26" s="392">
        <v>2.3</v>
      </c>
      <c r="T26" s="107">
        <v>2.2</v>
      </c>
      <c r="U26" s="108">
        <v>2.1</v>
      </c>
      <c r="V26" s="3"/>
      <c r="W26" s="3"/>
      <c r="X26" s="3"/>
      <c r="Y26" s="3"/>
      <c r="Z26" s="3"/>
    </row>
    <row r="27" ht="15.75" customHeight="1">
      <c r="A27" s="658">
        <v>6.0</v>
      </c>
      <c r="B27" s="653">
        <v>7.0</v>
      </c>
      <c r="C27" s="653">
        <v>7.0</v>
      </c>
      <c r="D27" s="659">
        <f>B27*C27*$D$43*$R$27</f>
        <v>2677987.028</v>
      </c>
      <c r="E27" s="659">
        <f>B27*C27*$E$43*$S$27</f>
        <v>5947077.075</v>
      </c>
      <c r="F27" s="660">
        <f t="shared" si="13"/>
        <v>13311408.5</v>
      </c>
      <c r="G27" s="661">
        <f>B27*C27*$G$43*$U$27</f>
        <v>17487370.3</v>
      </c>
      <c r="H27" s="564"/>
      <c r="I27" s="564"/>
      <c r="J27" s="658">
        <v>6.0</v>
      </c>
      <c r="K27" s="3">
        <v>7.0</v>
      </c>
      <c r="L27" s="32">
        <v>7.0</v>
      </c>
      <c r="M27" s="84">
        <f>K27*L27*$M$49*$R$36</f>
        <v>465801.8222</v>
      </c>
      <c r="N27" s="84">
        <f>L27*K27*N$49*$S$36</f>
        <v>989726.151</v>
      </c>
      <c r="O27" s="84">
        <f t="shared" si="14"/>
        <v>1652360.777</v>
      </c>
      <c r="P27" s="84">
        <f t="shared" si="15"/>
        <v>2697628.98</v>
      </c>
      <c r="Q27" s="3"/>
      <c r="R27" s="107">
        <v>2.3</v>
      </c>
      <c r="S27" s="107">
        <v>2.2</v>
      </c>
      <c r="T27" s="107">
        <v>2.1</v>
      </c>
      <c r="U27" s="108">
        <v>2.0</v>
      </c>
      <c r="V27" s="3"/>
      <c r="W27" s="3"/>
      <c r="X27" s="3"/>
      <c r="Y27" s="3"/>
      <c r="Z27" s="3"/>
    </row>
    <row r="28" ht="15.75" customHeight="1">
      <c r="A28" s="658">
        <v>7.0</v>
      </c>
      <c r="B28" s="653">
        <v>8.0</v>
      </c>
      <c r="C28" s="653">
        <v>8.0</v>
      </c>
      <c r="D28" s="659">
        <f>B28*C28*$D$43*$R$28</f>
        <v>3345701.629</v>
      </c>
      <c r="E28" s="659">
        <f>B28*C28*$E$43*$S$28</f>
        <v>7414537.652</v>
      </c>
      <c r="F28" s="660">
        <f t="shared" si="13"/>
        <v>16558409.02</v>
      </c>
      <c r="G28" s="661">
        <f>B28*C28*$G$43*$U$28</f>
        <v>21698614.58</v>
      </c>
      <c r="H28" s="564"/>
      <c r="I28" s="564"/>
      <c r="J28" s="658">
        <v>7.0</v>
      </c>
      <c r="K28" s="3">
        <v>8.0</v>
      </c>
      <c r="L28" s="32">
        <v>8.0</v>
      </c>
      <c r="M28" s="84">
        <f>K28*L28*$M$49*$R$37</f>
        <v>581942.2943</v>
      </c>
      <c r="N28" s="84">
        <f>L28*K28*N$49*$S$37</f>
        <v>1233944.292</v>
      </c>
      <c r="O28" s="84">
        <f t="shared" si="14"/>
        <v>2055414.766</v>
      </c>
      <c r="P28" s="84">
        <f t="shared" si="15"/>
        <v>3347262.081</v>
      </c>
      <c r="Q28" s="3"/>
      <c r="R28" s="392">
        <v>2.2</v>
      </c>
      <c r="S28" s="392">
        <v>2.1</v>
      </c>
      <c r="T28" s="107">
        <v>2.0</v>
      </c>
      <c r="U28" s="108">
        <v>1.9</v>
      </c>
      <c r="V28" s="3"/>
      <c r="W28" s="3"/>
      <c r="X28" s="3"/>
      <c r="Y28" s="3"/>
      <c r="Z28" s="3"/>
    </row>
    <row r="29" ht="15.75" customHeight="1">
      <c r="A29" s="658">
        <v>8.0</v>
      </c>
      <c r="B29" s="653">
        <v>9.0</v>
      </c>
      <c r="C29" s="662">
        <v>9.0</v>
      </c>
      <c r="D29" s="659">
        <f>B29*C29*$D$43*$R$29</f>
        <v>4041930.732</v>
      </c>
      <c r="E29" s="659">
        <f>B29*C29*$E$43*$S$29</f>
        <v>8937165.92</v>
      </c>
      <c r="F29" s="660">
        <f t="shared" si="13"/>
        <v>19908899.6</v>
      </c>
      <c r="G29" s="661">
        <f>B29*C29*$G$43*$U$29</f>
        <v>26016924.39</v>
      </c>
      <c r="H29" s="564"/>
      <c r="I29" s="564"/>
      <c r="J29" s="658">
        <v>8.0</v>
      </c>
      <c r="K29" s="3">
        <v>9.0</v>
      </c>
      <c r="L29" s="32">
        <v>9.0</v>
      </c>
      <c r="M29" s="84">
        <f>K29*L29*$M$49*$R$38</f>
        <v>703042.5018</v>
      </c>
      <c r="N29" s="84">
        <f>L29*K29*N$49*$S$38</f>
        <v>1487343.566</v>
      </c>
      <c r="O29" s="84">
        <f t="shared" si="14"/>
        <v>2471315.097</v>
      </c>
      <c r="P29" s="84">
        <f t="shared" si="15"/>
        <v>4013411.279</v>
      </c>
      <c r="Q29" s="3"/>
      <c r="R29" s="392">
        <v>2.1</v>
      </c>
      <c r="S29" s="392">
        <v>2.0</v>
      </c>
      <c r="T29" s="107">
        <v>1.9</v>
      </c>
      <c r="U29" s="108">
        <v>1.8</v>
      </c>
      <c r="V29" s="3"/>
      <c r="W29" s="3"/>
      <c r="X29" s="3"/>
      <c r="Y29" s="3"/>
      <c r="Z29" s="3"/>
    </row>
    <row r="30" ht="15.75" customHeight="1">
      <c r="A30" s="658">
        <v>9.0</v>
      </c>
      <c r="B30" s="653">
        <v>10.0</v>
      </c>
      <c r="C30" s="653">
        <v>10.0</v>
      </c>
      <c r="D30" s="659">
        <f>B30*C30*$D$43*$R$30</f>
        <v>4752417.087</v>
      </c>
      <c r="E30" s="659">
        <f>B30*C30*$E$43*$S$30</f>
        <v>10481861.26</v>
      </c>
      <c r="F30" s="660">
        <f t="shared" si="13"/>
        <v>23285262.69</v>
      </c>
      <c r="G30" s="661">
        <f>B30*C30*$G$43*$U$30</f>
        <v>30335234.19</v>
      </c>
      <c r="H30" s="564"/>
      <c r="I30" s="564"/>
      <c r="J30" s="658">
        <v>9.0</v>
      </c>
      <c r="K30" s="3">
        <v>10.0</v>
      </c>
      <c r="L30" s="32">
        <v>10.0</v>
      </c>
      <c r="M30" s="84">
        <f>K30*L30*$M$49*$R$39</f>
        <v>826622.5771</v>
      </c>
      <c r="N30" s="84">
        <f>L30*K30*N$49*$S$39</f>
        <v>1744415.294</v>
      </c>
      <c r="O30" s="84">
        <f t="shared" si="14"/>
        <v>2890427.014</v>
      </c>
      <c r="P30" s="84">
        <f t="shared" si="15"/>
        <v>4679560.476</v>
      </c>
      <c r="Q30" s="3"/>
      <c r="R30" s="107">
        <v>2.0</v>
      </c>
      <c r="S30" s="107">
        <v>1.9</v>
      </c>
      <c r="T30" s="107">
        <v>1.8</v>
      </c>
      <c r="U30" s="108">
        <v>1.7</v>
      </c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24"/>
      <c r="O31" s="124"/>
      <c r="P31" s="124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2" t="s">
        <v>732</v>
      </c>
      <c r="N32" s="124"/>
      <c r="O32" s="124"/>
      <c r="P32" s="124"/>
      <c r="Q32" s="3"/>
      <c r="R32" s="3" t="s">
        <v>542</v>
      </c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 t="s">
        <v>311</v>
      </c>
      <c r="C33" s="3">
        <f>L33</f>
        <v>285</v>
      </c>
      <c r="D33" s="3">
        <v>100.0</v>
      </c>
      <c r="E33" s="3">
        <v>250.0</v>
      </c>
      <c r="F33" s="663">
        <v>500.0</v>
      </c>
      <c r="G33" s="663">
        <v>1000.0</v>
      </c>
      <c r="H33" s="135"/>
      <c r="I33" s="135"/>
      <c r="J33" s="135"/>
      <c r="K33" s="3" t="s">
        <v>733</v>
      </c>
      <c r="L33" s="3">
        <v>285.0</v>
      </c>
      <c r="M33" s="664">
        <v>100.0</v>
      </c>
      <c r="N33" s="665">
        <v>250.0</v>
      </c>
      <c r="O33" s="666">
        <v>500.0</v>
      </c>
      <c r="P33" s="667">
        <v>1000.0</v>
      </c>
      <c r="Q33" s="3"/>
      <c r="R33" s="3" t="s">
        <v>718</v>
      </c>
      <c r="S33" s="3" t="s">
        <v>731</v>
      </c>
      <c r="T33" s="3" t="s">
        <v>723</v>
      </c>
      <c r="U33" s="3" t="s">
        <v>355</v>
      </c>
      <c r="V33" s="3"/>
      <c r="W33" s="3"/>
      <c r="X33" s="3"/>
      <c r="Y33" s="3"/>
      <c r="Z33" s="3"/>
    </row>
    <row r="34" ht="15.75" customHeight="1">
      <c r="A34" s="3"/>
      <c r="B34" s="3" t="s">
        <v>734</v>
      </c>
      <c r="C34" s="3"/>
      <c r="D34" s="668">
        <f>Bajadas!G8</f>
        <v>158385.8006</v>
      </c>
      <c r="E34" s="668">
        <f>Bajadas!G8</f>
        <v>158385.8006</v>
      </c>
      <c r="F34" s="668">
        <f>Bajadas!G9</f>
        <v>153276.5813</v>
      </c>
      <c r="G34" s="668">
        <f>Bajadas!G10</f>
        <v>148167.3619</v>
      </c>
      <c r="H34" s="577"/>
      <c r="I34" s="577"/>
      <c r="J34" s="3"/>
      <c r="K34" s="3" t="s">
        <v>735</v>
      </c>
      <c r="L34" s="3">
        <v>24.865</v>
      </c>
      <c r="M34" s="107">
        <v>2.5</v>
      </c>
      <c r="N34" s="107">
        <v>6.0</v>
      </c>
      <c r="O34" s="107">
        <v>11.0</v>
      </c>
      <c r="P34" s="107">
        <v>22.0</v>
      </c>
      <c r="Q34" s="3"/>
      <c r="R34" s="392">
        <v>2.5</v>
      </c>
      <c r="S34" s="392">
        <v>2.4</v>
      </c>
      <c r="T34" s="107">
        <v>2.3</v>
      </c>
      <c r="U34" s="108">
        <v>2.2</v>
      </c>
      <c r="V34" s="3"/>
      <c r="W34" s="3"/>
      <c r="X34" s="3"/>
      <c r="Y34" s="3"/>
      <c r="Z34" s="3"/>
    </row>
    <row r="35" ht="15.75" customHeight="1">
      <c r="A35" s="3"/>
      <c r="B35" s="3" t="s">
        <v>291</v>
      </c>
      <c r="C35" s="3"/>
      <c r="D35" s="669">
        <f t="shared" ref="D35:G35" si="16">D34*D33</f>
        <v>15838580.06</v>
      </c>
      <c r="E35" s="669">
        <f t="shared" si="16"/>
        <v>39596450.16</v>
      </c>
      <c r="F35" s="669">
        <f t="shared" si="16"/>
        <v>76638290.63</v>
      </c>
      <c r="G35" s="669">
        <f t="shared" si="16"/>
        <v>148167361.9</v>
      </c>
      <c r="H35" s="669"/>
      <c r="I35" s="669"/>
      <c r="J35" s="670"/>
      <c r="K35" s="3"/>
      <c r="L35" s="3"/>
      <c r="M35" s="670">
        <f>L34*M34*L33</f>
        <v>17716.3125</v>
      </c>
      <c r="N35" s="670">
        <f>L34*N34*L33</f>
        <v>42519.15</v>
      </c>
      <c r="O35" s="670">
        <f>L33*O34*L34</f>
        <v>77951.775</v>
      </c>
      <c r="P35" s="670">
        <f>L33*P34*L34</f>
        <v>155903.55</v>
      </c>
      <c r="Q35" s="3"/>
      <c r="R35" s="392">
        <v>2.4</v>
      </c>
      <c r="S35" s="392">
        <v>2.3</v>
      </c>
      <c r="T35" s="107">
        <v>2.2</v>
      </c>
      <c r="U35" s="108">
        <v>2.1</v>
      </c>
      <c r="V35" s="124"/>
      <c r="W35" s="3"/>
      <c r="X35" s="3"/>
      <c r="Y35" s="3"/>
      <c r="Z35" s="3"/>
    </row>
    <row r="36" ht="15.75" customHeight="1">
      <c r="A36" s="3"/>
      <c r="B36" s="3" t="s">
        <v>736</v>
      </c>
      <c r="C36" s="276">
        <f>Laminado!E10</f>
        <v>105.603596</v>
      </c>
      <c r="D36" s="669">
        <f>C36*C33*$D$33</f>
        <v>3009702.485</v>
      </c>
      <c r="E36" s="669">
        <f>C36*E33*C$33</f>
        <v>7524256.212</v>
      </c>
      <c r="F36" s="669">
        <f>C36*F33*C$33</f>
        <v>15048512.42</v>
      </c>
      <c r="G36" s="669">
        <f>C36*G33*C$33</f>
        <v>30097024.85</v>
      </c>
      <c r="H36" s="669"/>
      <c r="I36" s="669"/>
      <c r="J36" s="670"/>
      <c r="K36" s="3" t="s">
        <v>311</v>
      </c>
      <c r="L36" s="3"/>
      <c r="M36" s="3"/>
      <c r="N36" s="3"/>
      <c r="O36" s="3"/>
      <c r="P36" s="3"/>
      <c r="Q36" s="3"/>
      <c r="R36" s="107">
        <v>2.3</v>
      </c>
      <c r="S36" s="107">
        <v>2.2</v>
      </c>
      <c r="T36" s="107">
        <v>2.1</v>
      </c>
      <c r="U36" s="108">
        <v>2.0</v>
      </c>
      <c r="V36" s="124"/>
      <c r="W36" s="3"/>
      <c r="X36" s="3"/>
      <c r="Y36" s="3"/>
      <c r="Z36" s="3"/>
    </row>
    <row r="37" ht="15.75" customHeight="1">
      <c r="A37" s="3"/>
      <c r="B37" s="3" t="s">
        <v>737</v>
      </c>
      <c r="C37" s="3"/>
      <c r="D37" s="577">
        <v>1000.0</v>
      </c>
      <c r="E37" s="577">
        <v>2500.0</v>
      </c>
      <c r="F37" s="577">
        <v>5000.0</v>
      </c>
      <c r="G37" s="577">
        <v>10000.0</v>
      </c>
      <c r="H37" s="577"/>
      <c r="I37" s="577"/>
      <c r="J37" s="3"/>
      <c r="K37" s="3" t="s">
        <v>734</v>
      </c>
      <c r="L37" s="3">
        <v>0.09014499999999999</v>
      </c>
      <c r="M37" s="577">
        <f>L37*M33*$L33</f>
        <v>2569.1325</v>
      </c>
      <c r="N37" s="577">
        <f>L37*N33*L$33</f>
        <v>6422.83125</v>
      </c>
      <c r="O37" s="577">
        <f>L37*O33*L$33</f>
        <v>12845.6625</v>
      </c>
      <c r="P37" s="577">
        <f>L37*P33*L$33</f>
        <v>25691.325</v>
      </c>
      <c r="Q37" s="3"/>
      <c r="R37" s="392">
        <v>2.2</v>
      </c>
      <c r="S37" s="392">
        <v>2.1</v>
      </c>
      <c r="T37" s="107">
        <v>2.0</v>
      </c>
      <c r="U37" s="108">
        <v>1.9</v>
      </c>
      <c r="V37" s="663"/>
      <c r="W37" s="3"/>
      <c r="X37" s="3"/>
      <c r="Y37" s="3"/>
      <c r="Z37" s="3"/>
    </row>
    <row r="38" ht="15.75" customHeight="1">
      <c r="A38" s="3"/>
      <c r="B38" s="3" t="s">
        <v>98</v>
      </c>
      <c r="C38" s="3"/>
      <c r="D38" s="577">
        <v>1000.0</v>
      </c>
      <c r="E38" s="577">
        <v>2500.0</v>
      </c>
      <c r="F38" s="577">
        <v>5000.0</v>
      </c>
      <c r="G38" s="577">
        <v>10000.0</v>
      </c>
      <c r="H38" s="577"/>
      <c r="I38" s="577"/>
      <c r="J38" s="3"/>
      <c r="K38" s="3" t="s">
        <v>291</v>
      </c>
      <c r="L38" s="3">
        <v>0.1422858</v>
      </c>
      <c r="M38" s="669">
        <f>L38*L33*$D$33</f>
        <v>4055.1453</v>
      </c>
      <c r="N38" s="669">
        <f>L38*L33*N$33</f>
        <v>10137.86325</v>
      </c>
      <c r="O38" s="669">
        <f>L38*L33*O$33</f>
        <v>20275.7265</v>
      </c>
      <c r="P38" s="669">
        <f>L38*L33*P$33</f>
        <v>40551.453</v>
      </c>
      <c r="Q38" s="3"/>
      <c r="R38" s="392">
        <v>2.1</v>
      </c>
      <c r="S38" s="392">
        <v>2.0</v>
      </c>
      <c r="T38" s="107">
        <v>1.9</v>
      </c>
      <c r="U38" s="108">
        <v>1.8</v>
      </c>
      <c r="V38" s="3"/>
      <c r="W38" s="3"/>
      <c r="X38" s="3"/>
      <c r="Y38" s="3"/>
      <c r="Z38" s="3"/>
    </row>
    <row r="39" ht="15.75" customHeight="1">
      <c r="A39" s="3"/>
      <c r="B39" s="3" t="s">
        <v>738</v>
      </c>
      <c r="C39" s="3"/>
      <c r="D39" s="577">
        <v>1000.0</v>
      </c>
      <c r="E39" s="577">
        <v>2500.0</v>
      </c>
      <c r="F39" s="577">
        <v>5000.0</v>
      </c>
      <c r="G39" s="577">
        <v>10000.0</v>
      </c>
      <c r="H39" s="577"/>
      <c r="I39" s="577"/>
      <c r="J39" s="3"/>
      <c r="K39" s="3" t="s">
        <v>736</v>
      </c>
      <c r="L39" s="276">
        <f>'PAPEL US$'!I47</f>
        <v>71.148</v>
      </c>
      <c r="M39" s="669">
        <f>L39*L33*$D$33</f>
        <v>2027718</v>
      </c>
      <c r="N39" s="669">
        <f>L39*N33*L$33</f>
        <v>5069295</v>
      </c>
      <c r="O39" s="669">
        <f>L39*O33*L$33</f>
        <v>10138590</v>
      </c>
      <c r="P39" s="669">
        <f>L39*P33*L$33</f>
        <v>20277180</v>
      </c>
      <c r="Q39" s="3"/>
      <c r="R39" s="107">
        <v>2.0</v>
      </c>
      <c r="S39" s="107">
        <v>1.9</v>
      </c>
      <c r="T39" s="107">
        <v>1.8</v>
      </c>
      <c r="U39" s="108">
        <v>1.7</v>
      </c>
      <c r="V39" s="670"/>
      <c r="W39" s="3"/>
      <c r="X39" s="3"/>
      <c r="Y39" s="3"/>
      <c r="Z39" s="3"/>
    </row>
    <row r="40" ht="15.75" customHeight="1">
      <c r="A40" s="3"/>
      <c r="B40" s="3"/>
      <c r="C40" s="3"/>
      <c r="D40" s="671">
        <f>SUM(D34:D39)*$D$41</f>
        <v>28514502.52</v>
      </c>
      <c r="E40" s="671">
        <f>SUM(E34:E39)*$E$41</f>
        <v>66201229.04</v>
      </c>
      <c r="F40" s="671">
        <f>SUM(F34:F39)*$F$41</f>
        <v>119411603.5</v>
      </c>
      <c r="G40" s="671">
        <f>SUM(G34:G39)*$G$41</f>
        <v>214131064.9</v>
      </c>
      <c r="H40" s="672"/>
      <c r="I40" s="672"/>
      <c r="J40" s="3">
        <v>0.0</v>
      </c>
      <c r="K40" s="3" t="s">
        <v>359</v>
      </c>
      <c r="L40" s="3">
        <f>'PAPEL US$'!I50</f>
        <v>24.64</v>
      </c>
      <c r="M40" s="673">
        <f>L40*L33*$M$33</f>
        <v>702240</v>
      </c>
      <c r="N40" s="673">
        <f>L40*L33*$N$33</f>
        <v>1755600</v>
      </c>
      <c r="O40" s="673">
        <f>L40*L33*$O$33</f>
        <v>3511200</v>
      </c>
      <c r="P40" s="673">
        <f>L40*L33*$P$33</f>
        <v>7022400</v>
      </c>
      <c r="Q40" s="3"/>
      <c r="R40" s="3"/>
      <c r="S40" s="3"/>
      <c r="T40" s="3"/>
      <c r="U40" s="670"/>
      <c r="V40" s="3"/>
      <c r="W40" s="3"/>
      <c r="X40" s="3"/>
      <c r="Y40" s="3"/>
      <c r="Z40" s="3"/>
    </row>
    <row r="41" ht="15.75" customHeight="1">
      <c r="A41" s="3"/>
      <c r="B41" s="3" t="s">
        <v>739</v>
      </c>
      <c r="C41" s="3"/>
      <c r="D41" s="674">
        <v>1.5</v>
      </c>
      <c r="E41" s="674">
        <v>1.4</v>
      </c>
      <c r="F41" s="674">
        <v>1.3</v>
      </c>
      <c r="G41" s="674">
        <v>1.2</v>
      </c>
      <c r="H41" s="674"/>
      <c r="I41" s="674"/>
      <c r="J41" s="107" t="s">
        <v>740</v>
      </c>
      <c r="K41" s="107" t="s">
        <v>371</v>
      </c>
      <c r="L41" s="3">
        <v>2.1</v>
      </c>
      <c r="M41" s="577">
        <f>L41*M33</f>
        <v>210</v>
      </c>
      <c r="N41" s="577">
        <f>L41*$N$33</f>
        <v>525</v>
      </c>
      <c r="O41" s="577">
        <f>L41*$O$33</f>
        <v>1050</v>
      </c>
      <c r="P41" s="577">
        <f>L41*$P$33</f>
        <v>2100</v>
      </c>
      <c r="Q41" s="3"/>
      <c r="R41" s="218"/>
      <c r="S41" s="3"/>
      <c r="T41" s="3"/>
      <c r="U41" s="670"/>
      <c r="V41" s="670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 t="s">
        <v>737</v>
      </c>
      <c r="L42" s="3"/>
      <c r="M42" s="577">
        <v>300.0</v>
      </c>
      <c r="N42" s="577">
        <v>450.0</v>
      </c>
      <c r="O42" s="577">
        <v>675.0</v>
      </c>
      <c r="P42" s="577">
        <v>1000.0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 t="s">
        <v>231</v>
      </c>
      <c r="C43" s="3">
        <v>1200.0</v>
      </c>
      <c r="D43" s="431">
        <f>D40/C43</f>
        <v>23762.08543</v>
      </c>
      <c r="E43" s="431">
        <f>$E$40/C43</f>
        <v>55167.69086</v>
      </c>
      <c r="F43" s="431">
        <f>F40/$C$43*F41</f>
        <v>129362.5705</v>
      </c>
      <c r="G43" s="431">
        <f>G40/$C$43</f>
        <v>178442.5541</v>
      </c>
      <c r="H43" s="431"/>
      <c r="I43" s="431"/>
      <c r="J43" s="431"/>
      <c r="K43" s="3" t="s">
        <v>98</v>
      </c>
      <c r="L43" s="3"/>
      <c r="M43" s="577">
        <v>300.0</v>
      </c>
      <c r="N43" s="577">
        <v>450.0</v>
      </c>
      <c r="O43" s="577">
        <v>675.0</v>
      </c>
      <c r="P43" s="577">
        <v>1000.0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670"/>
      <c r="E44" s="3"/>
      <c r="F44" s="3"/>
      <c r="G44" s="3"/>
      <c r="H44" s="3"/>
      <c r="I44" s="3"/>
      <c r="J44" s="3"/>
      <c r="K44" s="3" t="s">
        <v>738</v>
      </c>
      <c r="L44" s="3"/>
      <c r="M44" s="577">
        <v>300.0</v>
      </c>
      <c r="N44" s="577">
        <v>450.0</v>
      </c>
      <c r="O44" s="577">
        <v>675.0</v>
      </c>
      <c r="P44" s="577">
        <v>1000.0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71">
        <f t="shared" ref="M45:P45" si="17">SUM(M35:M44)</f>
        <v>2755408.59</v>
      </c>
      <c r="N45" s="671">
        <f t="shared" si="17"/>
        <v>6885849.845</v>
      </c>
      <c r="O45" s="671">
        <f t="shared" si="17"/>
        <v>13763938.16</v>
      </c>
      <c r="P45" s="671">
        <f t="shared" si="17"/>
        <v>27526826.33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>
        <v>0.13915</v>
      </c>
      <c r="D46" s="3"/>
      <c r="E46" s="3"/>
      <c r="F46" s="3"/>
      <c r="G46" s="3"/>
      <c r="H46" s="3"/>
      <c r="I46" s="3"/>
      <c r="J46" s="3"/>
      <c r="K46" s="3" t="s">
        <v>739</v>
      </c>
      <c r="L46" s="3"/>
      <c r="M46" s="3">
        <v>1.8</v>
      </c>
      <c r="N46" s="3">
        <v>1.6</v>
      </c>
      <c r="O46" s="3">
        <v>1.4</v>
      </c>
      <c r="P46" s="3">
        <v>1.2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675">
        <f>M45*$M$46</f>
        <v>4959735.463</v>
      </c>
      <c r="N47" s="675">
        <f>N45*$N$46</f>
        <v>11017359.75</v>
      </c>
      <c r="O47" s="675">
        <f>O45*$O$46</f>
        <v>19269513.43</v>
      </c>
      <c r="P47" s="675">
        <f>P45*$P$46</f>
        <v>33032191.59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670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 t="s">
        <v>231</v>
      </c>
      <c r="L49" s="3">
        <v>1200.0</v>
      </c>
      <c r="M49" s="431">
        <f t="shared" ref="M49:P49" si="18">M47/$L$49</f>
        <v>4133.112885</v>
      </c>
      <c r="N49" s="431">
        <f t="shared" si="18"/>
        <v>9181.133126</v>
      </c>
      <c r="O49" s="431">
        <f t="shared" si="18"/>
        <v>16057.92786</v>
      </c>
      <c r="P49" s="431">
        <f t="shared" si="18"/>
        <v>27526.82633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670"/>
      <c r="U50" s="670"/>
      <c r="V50" s="670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v>1.0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32:M3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4.14"/>
    <col customWidth="1" min="3" max="3" width="15.0"/>
    <col customWidth="1" min="4" max="4" width="13.86"/>
    <col customWidth="1" min="5" max="8" width="11.43"/>
    <col customWidth="1" min="9" max="9" width="10.71"/>
    <col customWidth="1" min="10" max="12" width="11.43"/>
    <col customWidth="1" min="13" max="14" width="17.86"/>
    <col customWidth="1" min="15" max="15" width="11.43"/>
    <col customWidth="1" min="16" max="26" width="10.71"/>
  </cols>
  <sheetData>
    <row r="1">
      <c r="C1" s="3">
        <v>1.0</v>
      </c>
      <c r="D1" s="676">
        <v>5.0</v>
      </c>
      <c r="E1" s="677"/>
      <c r="F1" s="678">
        <v>10.0</v>
      </c>
      <c r="I1" s="617"/>
      <c r="J1" s="679">
        <v>50.0</v>
      </c>
      <c r="K1" s="680"/>
      <c r="L1" s="680"/>
      <c r="M1" s="681"/>
      <c r="N1" s="517">
        <v>100.0</v>
      </c>
      <c r="O1" s="519"/>
      <c r="P1" s="3">
        <v>250.0</v>
      </c>
    </row>
    <row r="2">
      <c r="B2" s="3" t="s">
        <v>741</v>
      </c>
      <c r="D2" s="398"/>
      <c r="E2" s="682"/>
      <c r="F2" s="3"/>
      <c r="G2" s="3"/>
      <c r="H2" s="3"/>
      <c r="J2" s="683"/>
      <c r="K2" s="135"/>
      <c r="L2" s="135"/>
      <c r="M2" s="603"/>
      <c r="N2" s="520" t="s">
        <v>742</v>
      </c>
      <c r="O2" s="521"/>
    </row>
    <row r="3">
      <c r="B3" s="3" t="s">
        <v>724</v>
      </c>
      <c r="D3" s="398"/>
      <c r="E3" s="682"/>
      <c r="F3" s="3"/>
      <c r="G3" s="3"/>
      <c r="H3" s="3"/>
      <c r="J3" s="683"/>
      <c r="K3" s="135"/>
      <c r="L3" s="135"/>
      <c r="M3" s="603"/>
      <c r="N3" s="684" t="s">
        <v>541</v>
      </c>
      <c r="O3" s="685"/>
    </row>
    <row r="4">
      <c r="B4" s="3" t="s">
        <v>743</v>
      </c>
      <c r="D4" s="398"/>
      <c r="E4" s="682"/>
      <c r="F4" s="3"/>
      <c r="G4" s="3"/>
      <c r="H4" s="3"/>
      <c r="J4" s="683"/>
      <c r="K4" s="135"/>
      <c r="L4" s="135"/>
      <c r="M4" s="603"/>
      <c r="N4" s="520" t="s">
        <v>744</v>
      </c>
      <c r="O4" s="521"/>
    </row>
    <row r="5">
      <c r="B5" s="3" t="s">
        <v>745</v>
      </c>
      <c r="D5" s="398"/>
      <c r="E5" s="682"/>
      <c r="F5" s="3"/>
      <c r="G5" s="3"/>
      <c r="H5" s="3"/>
      <c r="J5" s="683"/>
      <c r="K5" s="135"/>
      <c r="L5" s="135"/>
      <c r="M5" s="603"/>
      <c r="N5" s="686">
        <v>100.0</v>
      </c>
      <c r="O5" s="687"/>
    </row>
    <row r="6">
      <c r="B6" s="3" t="s">
        <v>746</v>
      </c>
      <c r="D6" s="398"/>
      <c r="E6" s="682"/>
      <c r="F6" s="3"/>
      <c r="G6" s="3"/>
      <c r="H6" s="3"/>
      <c r="J6" s="683"/>
      <c r="K6" s="135"/>
      <c r="L6" s="135"/>
      <c r="M6" s="603"/>
      <c r="N6" s="520" t="s">
        <v>747</v>
      </c>
      <c r="O6" s="521"/>
    </row>
    <row r="7">
      <c r="B7" s="3" t="s">
        <v>748</v>
      </c>
      <c r="D7" s="398"/>
      <c r="E7" s="682"/>
      <c r="F7" s="3"/>
      <c r="G7" s="3"/>
      <c r="H7" s="3"/>
      <c r="J7" s="683"/>
      <c r="K7" s="135"/>
      <c r="L7" s="135"/>
      <c r="M7" s="603"/>
      <c r="N7" s="520" t="s">
        <v>572</v>
      </c>
      <c r="O7" s="521"/>
    </row>
    <row r="8">
      <c r="B8" s="3" t="s">
        <v>749</v>
      </c>
      <c r="D8" s="398"/>
      <c r="E8" s="682"/>
      <c r="F8" s="3"/>
      <c r="G8" s="3"/>
      <c r="H8" s="3"/>
      <c r="J8" s="683"/>
      <c r="K8" s="135"/>
      <c r="L8" s="135"/>
      <c r="M8" s="603"/>
      <c r="N8" s="520" t="s">
        <v>10</v>
      </c>
      <c r="O8" s="521"/>
    </row>
    <row r="9">
      <c r="B9" s="3" t="s">
        <v>257</v>
      </c>
      <c r="D9" s="398"/>
      <c r="E9" s="682"/>
      <c r="F9" s="3"/>
      <c r="G9" s="3"/>
      <c r="H9" s="3"/>
      <c r="J9" s="683"/>
      <c r="K9" s="135"/>
      <c r="L9" s="135"/>
      <c r="M9" s="603"/>
      <c r="N9" s="523">
        <v>100.0</v>
      </c>
      <c r="O9" s="688"/>
    </row>
    <row r="10">
      <c r="B10" s="3" t="s">
        <v>84</v>
      </c>
      <c r="D10" s="398"/>
      <c r="E10" s="682"/>
      <c r="F10" s="3"/>
      <c r="G10" s="3"/>
      <c r="H10" s="3"/>
      <c r="J10" s="683"/>
      <c r="K10" s="135"/>
      <c r="L10" s="135"/>
      <c r="M10" s="603"/>
      <c r="N10" s="689">
        <v>38.0</v>
      </c>
      <c r="O10" s="690"/>
    </row>
    <row r="11">
      <c r="A11" s="489"/>
      <c r="B11" s="489"/>
      <c r="C11" s="489"/>
      <c r="D11" s="691"/>
      <c r="E11" s="692"/>
      <c r="F11" s="489"/>
      <c r="G11" s="489"/>
      <c r="H11" s="489"/>
      <c r="I11" s="489"/>
      <c r="J11" s="693"/>
      <c r="K11" s="694"/>
      <c r="L11" s="694"/>
      <c r="M11" s="695"/>
      <c r="N11" s="696"/>
      <c r="O11" s="697"/>
      <c r="P11" s="489"/>
      <c r="Q11" s="489"/>
      <c r="R11" s="489"/>
      <c r="S11" s="489"/>
      <c r="T11" s="489"/>
      <c r="U11" s="489"/>
      <c r="V11" s="489"/>
      <c r="W11" s="489"/>
      <c r="X11" s="489"/>
      <c r="Y11" s="489"/>
      <c r="Z11" s="489"/>
    </row>
    <row r="12">
      <c r="A12" s="489"/>
      <c r="B12" s="489"/>
      <c r="C12" s="489"/>
      <c r="D12" s="691"/>
      <c r="E12" s="692"/>
      <c r="F12" s="489"/>
      <c r="G12" s="489"/>
      <c r="H12" s="489"/>
      <c r="I12" s="489"/>
      <c r="J12" s="693"/>
      <c r="K12" s="694"/>
      <c r="L12" s="694"/>
      <c r="M12" s="695"/>
      <c r="N12" s="696"/>
      <c r="O12" s="697"/>
      <c r="P12" s="489"/>
      <c r="Q12" s="489"/>
      <c r="R12" s="489"/>
      <c r="S12" s="489"/>
      <c r="T12" s="489"/>
      <c r="U12" s="489"/>
      <c r="V12" s="489"/>
      <c r="W12" s="489"/>
      <c r="X12" s="489"/>
      <c r="Y12" s="489"/>
      <c r="Z12" s="489"/>
    </row>
    <row r="13">
      <c r="A13" s="3"/>
      <c r="B13" s="3" t="s">
        <v>741</v>
      </c>
      <c r="C13" s="3"/>
      <c r="D13" s="398"/>
      <c r="E13" s="682"/>
      <c r="F13" s="3"/>
      <c r="G13" s="3"/>
      <c r="H13" s="3"/>
      <c r="I13" s="3"/>
      <c r="J13" s="683" t="s">
        <v>750</v>
      </c>
      <c r="K13" s="135"/>
      <c r="L13" s="135"/>
      <c r="M13" s="603"/>
      <c r="N13" s="520"/>
      <c r="O13" s="521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 t="s">
        <v>724</v>
      </c>
      <c r="C14" s="3"/>
      <c r="D14" s="398"/>
      <c r="E14" s="682"/>
      <c r="F14" s="3"/>
      <c r="G14" s="3"/>
      <c r="H14" s="3"/>
      <c r="I14" s="3"/>
      <c r="J14" s="116" t="s">
        <v>129</v>
      </c>
      <c r="K14" s="116"/>
      <c r="L14" s="116"/>
      <c r="M14" s="603"/>
      <c r="N14" s="520"/>
      <c r="O14" s="521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">
        <v>743</v>
      </c>
      <c r="C15" s="3"/>
      <c r="D15" s="398"/>
      <c r="E15" s="682"/>
      <c r="F15" s="3"/>
      <c r="G15" s="3"/>
      <c r="H15" s="3"/>
      <c r="I15" s="3"/>
      <c r="J15" s="3" t="s">
        <v>744</v>
      </c>
      <c r="K15" s="3"/>
      <c r="L15" s="3"/>
      <c r="M15" s="603"/>
      <c r="N15" s="520"/>
      <c r="O15" s="521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 t="s">
        <v>745</v>
      </c>
      <c r="C16" s="3"/>
      <c r="D16" s="398"/>
      <c r="E16" s="682"/>
      <c r="F16" s="3"/>
      <c r="G16" s="3"/>
      <c r="H16" s="3"/>
      <c r="I16" s="3"/>
      <c r="J16" s="109">
        <v>50.0</v>
      </c>
      <c r="K16" s="109"/>
      <c r="L16" s="109"/>
      <c r="M16" s="603"/>
      <c r="N16" s="520"/>
      <c r="O16" s="521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 t="s">
        <v>746</v>
      </c>
      <c r="C17" s="3"/>
      <c r="D17" s="398"/>
      <c r="E17" s="682"/>
      <c r="F17" s="3"/>
      <c r="G17" s="3"/>
      <c r="H17" s="3"/>
      <c r="I17" s="3"/>
      <c r="J17" s="3" t="s">
        <v>747</v>
      </c>
      <c r="K17" s="3"/>
      <c r="L17" s="3"/>
      <c r="M17" s="603"/>
      <c r="N17" s="520"/>
      <c r="O17" s="521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 t="s">
        <v>748</v>
      </c>
      <c r="C18" s="3"/>
      <c r="D18" s="398"/>
      <c r="E18" s="682"/>
      <c r="F18" s="3"/>
      <c r="G18" s="3"/>
      <c r="H18" s="3"/>
      <c r="I18" s="3"/>
      <c r="J18" s="3" t="s">
        <v>572</v>
      </c>
      <c r="K18" s="3"/>
      <c r="L18" s="3"/>
      <c r="M18" s="603"/>
      <c r="N18" s="520"/>
      <c r="O18" s="521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 t="s">
        <v>749</v>
      </c>
      <c r="C19" s="3"/>
      <c r="D19" s="398"/>
      <c r="E19" s="682"/>
      <c r="F19" s="3"/>
      <c r="G19" s="3"/>
      <c r="H19" s="3"/>
      <c r="I19" s="3"/>
      <c r="J19" s="3" t="s">
        <v>10</v>
      </c>
      <c r="K19" s="3"/>
      <c r="L19" s="3"/>
      <c r="M19" s="603"/>
      <c r="N19" s="520"/>
      <c r="O19" s="521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 t="s">
        <v>257</v>
      </c>
      <c r="C20" s="3"/>
      <c r="D20" s="398"/>
      <c r="E20" s="682"/>
      <c r="F20" s="3"/>
      <c r="G20" s="3"/>
      <c r="H20" s="3"/>
      <c r="I20" s="3"/>
      <c r="J20" s="32">
        <v>50.0</v>
      </c>
      <c r="K20" s="32"/>
      <c r="L20" s="32"/>
      <c r="M20" s="603"/>
      <c r="N20" s="520"/>
      <c r="O20" s="52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 t="s">
        <v>84</v>
      </c>
      <c r="C21" s="3"/>
      <c r="D21" s="398"/>
      <c r="E21" s="682"/>
      <c r="F21" s="3"/>
      <c r="G21" s="3"/>
      <c r="H21" s="3"/>
      <c r="I21" s="3"/>
      <c r="J21" s="698"/>
      <c r="K21" s="698"/>
      <c r="L21" s="698"/>
      <c r="M21" s="603"/>
      <c r="N21" s="520"/>
      <c r="O21" s="5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89"/>
      <c r="B22" s="489"/>
      <c r="C22" s="489"/>
      <c r="D22" s="691"/>
      <c r="E22" s="692"/>
      <c r="F22" s="489"/>
      <c r="G22" s="489"/>
      <c r="H22" s="489"/>
      <c r="I22" s="489"/>
      <c r="J22" s="693"/>
      <c r="K22" s="694"/>
      <c r="L22" s="694"/>
      <c r="M22" s="695"/>
      <c r="N22" s="696"/>
      <c r="O22" s="697"/>
      <c r="P22" s="489"/>
      <c r="Q22" s="489"/>
      <c r="R22" s="489"/>
      <c r="S22" s="489"/>
      <c r="T22" s="489"/>
      <c r="U22" s="489"/>
      <c r="V22" s="489"/>
      <c r="W22" s="489"/>
      <c r="X22" s="489"/>
      <c r="Y22" s="489"/>
      <c r="Z22" s="489"/>
    </row>
    <row r="23" ht="15.75" customHeight="1">
      <c r="A23" s="489"/>
      <c r="B23" s="489"/>
      <c r="C23" s="489"/>
      <c r="D23" s="691"/>
      <c r="E23" s="692"/>
      <c r="F23" s="489"/>
      <c r="G23" s="489"/>
      <c r="H23" s="489"/>
      <c r="I23" s="489"/>
      <c r="J23" s="693"/>
      <c r="K23" s="694"/>
      <c r="L23" s="694"/>
      <c r="M23" s="695"/>
      <c r="N23" s="696"/>
      <c r="O23" s="697"/>
      <c r="P23" s="489"/>
      <c r="Q23" s="489"/>
      <c r="R23" s="489"/>
      <c r="S23" s="489"/>
      <c r="T23" s="489"/>
      <c r="U23" s="489"/>
      <c r="V23" s="489"/>
      <c r="W23" s="489"/>
      <c r="X23" s="489"/>
      <c r="Y23" s="489"/>
      <c r="Z23" s="489"/>
    </row>
    <row r="24" ht="15.75" customHeight="1">
      <c r="B24" s="3" t="s">
        <v>741</v>
      </c>
      <c r="D24" s="398"/>
      <c r="E24" s="682"/>
      <c r="F24" s="3"/>
      <c r="G24" s="3"/>
      <c r="H24" s="3"/>
      <c r="I24" s="3"/>
      <c r="J24" s="683" t="s">
        <v>750</v>
      </c>
      <c r="K24" s="135"/>
      <c r="L24" s="135"/>
      <c r="M24" s="603"/>
      <c r="N24" s="520"/>
      <c r="O24" s="521"/>
    </row>
    <row r="25" ht="15.75" customHeight="1">
      <c r="B25" s="3" t="s">
        <v>724</v>
      </c>
      <c r="D25" s="398"/>
      <c r="E25" s="682"/>
      <c r="F25" s="3"/>
      <c r="G25" s="3"/>
      <c r="H25" s="3"/>
      <c r="I25" s="116"/>
      <c r="J25" s="116" t="s">
        <v>125</v>
      </c>
      <c r="K25" s="116"/>
      <c r="L25" s="116"/>
      <c r="M25" s="603"/>
      <c r="N25" s="520"/>
      <c r="O25" s="521"/>
    </row>
    <row r="26" ht="15.75" customHeight="1">
      <c r="B26" s="3" t="s">
        <v>743</v>
      </c>
      <c r="D26" s="398"/>
      <c r="E26" s="682"/>
      <c r="F26" s="3"/>
      <c r="G26" s="3"/>
      <c r="H26" s="3"/>
      <c r="I26" s="3"/>
      <c r="J26" s="3" t="s">
        <v>744</v>
      </c>
      <c r="K26" s="3"/>
      <c r="L26" s="3"/>
      <c r="M26" s="603"/>
      <c r="N26" s="520"/>
      <c r="O26" s="521"/>
    </row>
    <row r="27" ht="15.75" customHeight="1">
      <c r="B27" s="3" t="s">
        <v>745</v>
      </c>
      <c r="D27" s="398"/>
      <c r="E27" s="682"/>
      <c r="F27" s="3"/>
      <c r="G27" s="3"/>
      <c r="H27" s="3"/>
      <c r="I27" s="109"/>
      <c r="J27" s="109">
        <v>50.0</v>
      </c>
      <c r="K27" s="109"/>
      <c r="L27" s="109"/>
      <c r="M27" s="603"/>
      <c r="N27" s="520"/>
      <c r="O27" s="521"/>
    </row>
    <row r="28" ht="15.75" customHeight="1">
      <c r="B28" s="3" t="s">
        <v>746</v>
      </c>
      <c r="D28" s="398"/>
      <c r="E28" s="682"/>
      <c r="F28" s="3"/>
      <c r="G28" s="3"/>
      <c r="H28" s="3"/>
      <c r="I28" s="3"/>
      <c r="J28" s="3" t="s">
        <v>747</v>
      </c>
      <c r="K28" s="3"/>
      <c r="L28" s="3"/>
      <c r="M28" s="603"/>
      <c r="N28" s="520"/>
      <c r="O28" s="521"/>
    </row>
    <row r="29" ht="15.75" customHeight="1">
      <c r="B29" s="3" t="s">
        <v>748</v>
      </c>
      <c r="D29" s="398"/>
      <c r="E29" s="682"/>
      <c r="F29" s="3"/>
      <c r="G29" s="3"/>
      <c r="H29" s="3"/>
      <c r="I29" s="3"/>
      <c r="J29" s="3" t="s">
        <v>572</v>
      </c>
      <c r="K29" s="3"/>
      <c r="L29" s="3"/>
      <c r="M29" s="603"/>
      <c r="N29" s="520"/>
      <c r="O29" s="521"/>
    </row>
    <row r="30" ht="15.75" customHeight="1">
      <c r="B30" s="3" t="s">
        <v>749</v>
      </c>
      <c r="D30" s="398"/>
      <c r="E30" s="682"/>
      <c r="F30" s="3"/>
      <c r="G30" s="3"/>
      <c r="H30" s="3"/>
      <c r="I30" s="3"/>
      <c r="J30" s="3" t="s">
        <v>10</v>
      </c>
      <c r="K30" s="3"/>
      <c r="L30" s="3"/>
      <c r="M30" s="603"/>
      <c r="N30" s="520"/>
      <c r="O30" s="521"/>
    </row>
    <row r="31" ht="15.75" customHeight="1">
      <c r="B31" s="3" t="s">
        <v>257</v>
      </c>
      <c r="D31" s="398"/>
      <c r="E31" s="682"/>
      <c r="F31" s="3"/>
      <c r="G31" s="3"/>
      <c r="H31" s="3"/>
      <c r="I31" s="32"/>
      <c r="J31" s="32">
        <v>50.0</v>
      </c>
      <c r="K31" s="32"/>
      <c r="L31" s="32"/>
      <c r="M31" s="603"/>
      <c r="N31" s="520"/>
      <c r="O31" s="521"/>
    </row>
    <row r="32" ht="15.75" customHeight="1">
      <c r="B32" s="3" t="s">
        <v>84</v>
      </c>
      <c r="D32" s="398"/>
      <c r="E32" s="682"/>
      <c r="F32" s="3"/>
      <c r="G32" s="3"/>
      <c r="H32" s="3"/>
      <c r="I32" s="698"/>
      <c r="J32" s="698">
        <v>34.0</v>
      </c>
      <c r="K32" s="698"/>
      <c r="L32" s="698"/>
      <c r="M32" s="603"/>
      <c r="N32" s="520"/>
      <c r="O32" s="521"/>
    </row>
    <row r="33" ht="15.75" customHeight="1">
      <c r="A33" s="489"/>
      <c r="B33" s="489"/>
      <c r="C33" s="489"/>
      <c r="D33" s="691"/>
      <c r="E33" s="692"/>
      <c r="F33" s="489"/>
      <c r="G33" s="489"/>
      <c r="H33" s="489"/>
      <c r="I33" s="489"/>
      <c r="J33" s="693"/>
      <c r="K33" s="694"/>
      <c r="L33" s="694"/>
      <c r="M33" s="695"/>
      <c r="N33" s="696"/>
      <c r="O33" s="697"/>
      <c r="P33" s="489"/>
      <c r="Q33" s="489"/>
      <c r="R33" s="489"/>
      <c r="S33" s="489"/>
      <c r="T33" s="489"/>
      <c r="U33" s="489"/>
      <c r="V33" s="489"/>
      <c r="W33" s="489"/>
      <c r="X33" s="489"/>
      <c r="Y33" s="489"/>
      <c r="Z33" s="489"/>
    </row>
    <row r="34" ht="15.75" customHeight="1">
      <c r="A34" s="489"/>
      <c r="B34" s="489"/>
      <c r="C34" s="489"/>
      <c r="D34" s="691"/>
      <c r="E34" s="692"/>
      <c r="F34" s="489"/>
      <c r="G34" s="489"/>
      <c r="H34" s="489"/>
      <c r="I34" s="489"/>
      <c r="J34" s="693"/>
      <c r="K34" s="694"/>
      <c r="L34" s="694"/>
      <c r="M34" s="695"/>
      <c r="N34" s="696"/>
      <c r="O34" s="697"/>
      <c r="P34" s="489"/>
      <c r="Q34" s="489"/>
      <c r="R34" s="489"/>
      <c r="S34" s="489"/>
      <c r="T34" s="489"/>
      <c r="U34" s="489"/>
      <c r="V34" s="489"/>
      <c r="W34" s="489"/>
      <c r="X34" s="489"/>
      <c r="Y34" s="489"/>
      <c r="Z34" s="489"/>
    </row>
    <row r="35" ht="15.75" customHeight="1">
      <c r="B35" s="3" t="s">
        <v>741</v>
      </c>
      <c r="D35" s="398"/>
      <c r="E35" s="682"/>
      <c r="F35" s="683" t="s">
        <v>742</v>
      </c>
      <c r="G35" s="683" t="s">
        <v>742</v>
      </c>
      <c r="H35" s="3"/>
      <c r="J35" s="683" t="s">
        <v>742</v>
      </c>
      <c r="K35" s="135"/>
      <c r="L35" s="135"/>
      <c r="M35" s="603"/>
      <c r="N35" s="683" t="s">
        <v>742</v>
      </c>
      <c r="O35" s="521"/>
    </row>
    <row r="36" ht="15.75" customHeight="1">
      <c r="B36" s="3" t="s">
        <v>724</v>
      </c>
      <c r="D36" s="398"/>
      <c r="E36" s="682"/>
      <c r="F36" s="683" t="s">
        <v>751</v>
      </c>
      <c r="G36" s="683" t="s">
        <v>751</v>
      </c>
      <c r="H36" s="3"/>
      <c r="J36" s="683" t="s">
        <v>751</v>
      </c>
      <c r="K36" s="135"/>
      <c r="L36" s="135"/>
      <c r="M36" s="603"/>
      <c r="N36" s="683" t="s">
        <v>751</v>
      </c>
      <c r="O36" s="521"/>
    </row>
    <row r="37" ht="15.75" customHeight="1">
      <c r="B37" s="3" t="s">
        <v>743</v>
      </c>
      <c r="D37" s="398"/>
      <c r="E37" s="682"/>
      <c r="F37" s="683" t="s">
        <v>744</v>
      </c>
      <c r="G37" s="683" t="s">
        <v>744</v>
      </c>
      <c r="H37" s="3"/>
      <c r="J37" s="683" t="s">
        <v>744</v>
      </c>
      <c r="K37" s="135"/>
      <c r="L37" s="135"/>
      <c r="M37" s="603"/>
      <c r="N37" s="683" t="s">
        <v>744</v>
      </c>
      <c r="O37" s="521"/>
    </row>
    <row r="38" ht="15.75" customHeight="1">
      <c r="B38" s="3" t="s">
        <v>745</v>
      </c>
      <c r="D38" s="398"/>
      <c r="E38" s="682"/>
      <c r="F38" s="699">
        <v>50.0</v>
      </c>
      <c r="G38" s="699">
        <v>100.0</v>
      </c>
      <c r="H38" s="3"/>
      <c r="J38" s="699">
        <v>50.0</v>
      </c>
      <c r="K38" s="700"/>
      <c r="L38" s="700"/>
      <c r="M38" s="701"/>
      <c r="N38" s="699">
        <v>50.0</v>
      </c>
      <c r="O38" s="521"/>
    </row>
    <row r="39" ht="15.75" customHeight="1">
      <c r="B39" s="3" t="s">
        <v>746</v>
      </c>
      <c r="D39" s="398"/>
      <c r="E39" s="682"/>
      <c r="F39" s="683" t="s">
        <v>747</v>
      </c>
      <c r="G39" s="683" t="s">
        <v>747</v>
      </c>
      <c r="H39" s="3"/>
      <c r="J39" s="683" t="s">
        <v>747</v>
      </c>
      <c r="K39" s="135"/>
      <c r="L39" s="135"/>
      <c r="M39" s="603"/>
      <c r="N39" s="683" t="s">
        <v>747</v>
      </c>
      <c r="O39" s="521"/>
    </row>
    <row r="40" ht="15.75" customHeight="1">
      <c r="B40" s="3" t="s">
        <v>748</v>
      </c>
      <c r="D40" s="398"/>
      <c r="E40" s="682"/>
      <c r="F40" s="683" t="s">
        <v>572</v>
      </c>
      <c r="G40" s="683" t="s">
        <v>572</v>
      </c>
      <c r="H40" s="3"/>
      <c r="J40" s="683" t="s">
        <v>572</v>
      </c>
      <c r="K40" s="135"/>
      <c r="L40" s="135"/>
      <c r="M40" s="603"/>
      <c r="N40" s="683" t="s">
        <v>572</v>
      </c>
      <c r="O40" s="521"/>
    </row>
    <row r="41" ht="15.75" customHeight="1">
      <c r="B41" s="3" t="s">
        <v>749</v>
      </c>
      <c r="D41" s="398"/>
      <c r="E41" s="682"/>
      <c r="F41" s="683" t="s">
        <v>10</v>
      </c>
      <c r="G41" s="683" t="s">
        <v>10</v>
      </c>
      <c r="H41" s="3"/>
      <c r="J41" s="683" t="s">
        <v>10</v>
      </c>
      <c r="K41" s="135"/>
      <c r="L41" s="135"/>
      <c r="M41" s="603"/>
      <c r="N41" s="683" t="s">
        <v>10</v>
      </c>
      <c r="O41" s="521"/>
    </row>
    <row r="42" ht="15.75" customHeight="1">
      <c r="B42" s="3" t="s">
        <v>257</v>
      </c>
      <c r="D42" s="398"/>
      <c r="E42" s="682"/>
      <c r="F42" s="683">
        <v>10.0</v>
      </c>
      <c r="G42" s="683">
        <v>10.0</v>
      </c>
      <c r="H42" s="3"/>
      <c r="J42" s="683">
        <v>50.0</v>
      </c>
      <c r="K42" s="135"/>
      <c r="L42" s="135"/>
      <c r="M42" s="603"/>
      <c r="N42" s="683">
        <v>100.0</v>
      </c>
      <c r="O42" s="521"/>
    </row>
    <row r="43" ht="15.75" customHeight="1">
      <c r="B43" s="3" t="s">
        <v>84</v>
      </c>
      <c r="D43" s="398"/>
      <c r="E43" s="682"/>
      <c r="F43" s="336">
        <v>82.0</v>
      </c>
      <c r="G43" s="336">
        <v>150.0</v>
      </c>
      <c r="H43" s="3"/>
      <c r="J43" s="702">
        <v>58.5</v>
      </c>
      <c r="K43" s="703"/>
      <c r="L43" s="703"/>
      <c r="M43" s="603"/>
      <c r="N43" s="702">
        <v>54.5</v>
      </c>
      <c r="O43" s="521"/>
    </row>
    <row r="44" ht="15.75" customHeight="1">
      <c r="A44" s="489"/>
      <c r="B44" s="489"/>
      <c r="C44" s="489"/>
      <c r="D44" s="691"/>
      <c r="E44" s="692"/>
      <c r="F44" s="489"/>
      <c r="G44" s="489"/>
      <c r="H44" s="489"/>
      <c r="I44" s="489"/>
      <c r="J44" s="704"/>
      <c r="K44" s="705"/>
      <c r="L44" s="705"/>
      <c r="M44" s="695"/>
      <c r="N44" s="704"/>
      <c r="O44" s="697"/>
      <c r="P44" s="489"/>
      <c r="Q44" s="489"/>
      <c r="R44" s="489"/>
      <c r="S44" s="489"/>
      <c r="T44" s="489"/>
      <c r="U44" s="489"/>
      <c r="V44" s="489"/>
      <c r="W44" s="489"/>
      <c r="X44" s="489"/>
      <c r="Y44" s="489"/>
      <c r="Z44" s="489"/>
    </row>
    <row r="45" ht="15.75" customHeight="1">
      <c r="A45" s="489"/>
      <c r="B45" s="489"/>
      <c r="C45" s="489"/>
      <c r="D45" s="691"/>
      <c r="E45" s="692"/>
      <c r="F45" s="489"/>
      <c r="G45" s="489"/>
      <c r="H45" s="489"/>
      <c r="I45" s="489"/>
      <c r="J45" s="693"/>
      <c r="K45" s="694"/>
      <c r="L45" s="694"/>
      <c r="M45" s="695"/>
      <c r="N45" s="696"/>
      <c r="O45" s="697"/>
      <c r="P45" s="489"/>
      <c r="Q45" s="489"/>
      <c r="R45" s="489"/>
      <c r="S45" s="489"/>
      <c r="T45" s="489"/>
      <c r="U45" s="489"/>
      <c r="V45" s="489"/>
      <c r="W45" s="489"/>
      <c r="X45" s="489"/>
      <c r="Y45" s="489"/>
      <c r="Z45" s="489"/>
    </row>
    <row r="46" ht="15.75" customHeight="1">
      <c r="A46" s="3"/>
      <c r="B46" s="3" t="s">
        <v>741</v>
      </c>
      <c r="C46" s="3"/>
      <c r="D46" s="706" t="s">
        <v>742</v>
      </c>
      <c r="E46" s="707" t="s">
        <v>742</v>
      </c>
      <c r="F46" s="683" t="s">
        <v>742</v>
      </c>
      <c r="G46" s="603" t="s">
        <v>742</v>
      </c>
      <c r="H46" s="683" t="s">
        <v>742</v>
      </c>
      <c r="I46" s="603" t="s">
        <v>742</v>
      </c>
      <c r="J46" s="683" t="s">
        <v>742</v>
      </c>
      <c r="K46" s="603" t="s">
        <v>742</v>
      </c>
      <c r="L46" s="683" t="s">
        <v>742</v>
      </c>
      <c r="M46" s="603" t="s">
        <v>742</v>
      </c>
      <c r="N46" s="683" t="s">
        <v>742</v>
      </c>
      <c r="O46" s="521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 t="s">
        <v>724</v>
      </c>
      <c r="C47" s="3"/>
      <c r="D47" s="706" t="s">
        <v>16</v>
      </c>
      <c r="E47" s="707" t="s">
        <v>16</v>
      </c>
      <c r="F47" s="683" t="s">
        <v>16</v>
      </c>
      <c r="G47" s="603" t="s">
        <v>16</v>
      </c>
      <c r="H47" s="683" t="s">
        <v>16</v>
      </c>
      <c r="I47" s="603" t="s">
        <v>16</v>
      </c>
      <c r="J47" s="683" t="s">
        <v>16</v>
      </c>
      <c r="K47" s="603" t="s">
        <v>16</v>
      </c>
      <c r="L47" s="683" t="s">
        <v>16</v>
      </c>
      <c r="M47" s="603" t="s">
        <v>16</v>
      </c>
      <c r="N47" s="683" t="s">
        <v>16</v>
      </c>
      <c r="O47" s="521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 t="s">
        <v>743</v>
      </c>
      <c r="C48" s="3"/>
      <c r="D48" s="706" t="s">
        <v>744</v>
      </c>
      <c r="E48" s="707" t="s">
        <v>744</v>
      </c>
      <c r="F48" s="683" t="s">
        <v>744</v>
      </c>
      <c r="G48" s="603" t="s">
        <v>744</v>
      </c>
      <c r="H48" s="683" t="s">
        <v>744</v>
      </c>
      <c r="I48" s="603" t="s">
        <v>744</v>
      </c>
      <c r="J48" s="683" t="s">
        <v>744</v>
      </c>
      <c r="K48" s="603" t="s">
        <v>744</v>
      </c>
      <c r="L48" s="683" t="s">
        <v>744</v>
      </c>
      <c r="M48" s="603" t="s">
        <v>744</v>
      </c>
      <c r="N48" s="683" t="s">
        <v>744</v>
      </c>
      <c r="O48" s="521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 t="s">
        <v>745</v>
      </c>
      <c r="C49" s="3"/>
      <c r="D49" s="708">
        <v>50.0</v>
      </c>
      <c r="E49" s="709">
        <v>100.0</v>
      </c>
      <c r="F49" s="699">
        <v>50.0</v>
      </c>
      <c r="G49" s="701">
        <v>100.0</v>
      </c>
      <c r="H49" s="699">
        <v>50.0</v>
      </c>
      <c r="I49" s="701">
        <v>100.0</v>
      </c>
      <c r="J49" s="699">
        <v>50.0</v>
      </c>
      <c r="K49" s="701">
        <v>100.0</v>
      </c>
      <c r="L49" s="699">
        <v>50.0</v>
      </c>
      <c r="M49" s="701">
        <v>100.0</v>
      </c>
      <c r="N49" s="699">
        <v>50.0</v>
      </c>
      <c r="O49" s="521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 t="s">
        <v>746</v>
      </c>
      <c r="C50" s="3"/>
      <c r="D50" s="706" t="s">
        <v>747</v>
      </c>
      <c r="E50" s="707" t="s">
        <v>747</v>
      </c>
      <c r="F50" s="683" t="s">
        <v>747</v>
      </c>
      <c r="G50" s="603" t="s">
        <v>747</v>
      </c>
      <c r="H50" s="683" t="s">
        <v>747</v>
      </c>
      <c r="I50" s="603" t="s">
        <v>747</v>
      </c>
      <c r="J50" s="683" t="s">
        <v>747</v>
      </c>
      <c r="K50" s="603" t="s">
        <v>747</v>
      </c>
      <c r="L50" s="683" t="s">
        <v>747</v>
      </c>
      <c r="M50" s="603" t="s">
        <v>747</v>
      </c>
      <c r="N50" s="683" t="s">
        <v>747</v>
      </c>
      <c r="O50" s="521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 t="s">
        <v>748</v>
      </c>
      <c r="C51" s="3"/>
      <c r="D51" s="706" t="s">
        <v>572</v>
      </c>
      <c r="E51" s="707" t="s">
        <v>572</v>
      </c>
      <c r="F51" s="683" t="s">
        <v>572</v>
      </c>
      <c r="G51" s="603" t="s">
        <v>572</v>
      </c>
      <c r="H51" s="683" t="s">
        <v>572</v>
      </c>
      <c r="I51" s="603" t="s">
        <v>572</v>
      </c>
      <c r="J51" s="683" t="s">
        <v>572</v>
      </c>
      <c r="K51" s="603" t="s">
        <v>572</v>
      </c>
      <c r="L51" s="683" t="s">
        <v>572</v>
      </c>
      <c r="M51" s="603" t="s">
        <v>572</v>
      </c>
      <c r="N51" s="683" t="s">
        <v>572</v>
      </c>
      <c r="O51" s="52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 t="s">
        <v>749</v>
      </c>
      <c r="C52" s="3"/>
      <c r="D52" s="706" t="s">
        <v>10</v>
      </c>
      <c r="E52" s="707" t="s">
        <v>10</v>
      </c>
      <c r="F52" s="683" t="s">
        <v>10</v>
      </c>
      <c r="G52" s="603" t="s">
        <v>10</v>
      </c>
      <c r="H52" s="710" t="s">
        <v>40</v>
      </c>
      <c r="I52" s="711" t="s">
        <v>40</v>
      </c>
      <c r="J52" s="683" t="s">
        <v>10</v>
      </c>
      <c r="K52" s="603" t="s">
        <v>10</v>
      </c>
      <c r="L52" s="710" t="s">
        <v>40</v>
      </c>
      <c r="M52" s="711" t="s">
        <v>40</v>
      </c>
      <c r="N52" s="683" t="s">
        <v>10</v>
      </c>
      <c r="O52" s="521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 t="s">
        <v>257</v>
      </c>
      <c r="C53" s="3"/>
      <c r="D53" s="706">
        <v>5.0</v>
      </c>
      <c r="E53" s="707">
        <v>5.0</v>
      </c>
      <c r="F53" s="135">
        <v>10.0</v>
      </c>
      <c r="G53" s="135">
        <v>10.0</v>
      </c>
      <c r="H53" s="135">
        <v>10.0</v>
      </c>
      <c r="I53" s="135">
        <v>10.0</v>
      </c>
      <c r="J53" s="683">
        <v>50.0</v>
      </c>
      <c r="K53" s="603">
        <v>50.0</v>
      </c>
      <c r="L53" s="683">
        <v>50.0</v>
      </c>
      <c r="M53" s="603">
        <v>50.0</v>
      </c>
      <c r="N53" s="683">
        <v>100.0</v>
      </c>
      <c r="O53" s="521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 t="s">
        <v>84</v>
      </c>
      <c r="C54" s="3"/>
      <c r="D54" s="712">
        <v>155.0</v>
      </c>
      <c r="E54" s="682">
        <v>290.0</v>
      </c>
      <c r="F54" s="3"/>
      <c r="G54" s="3"/>
      <c r="H54" s="3"/>
      <c r="I54" s="336">
        <v>116.0</v>
      </c>
      <c r="J54" s="713">
        <v>131.0</v>
      </c>
      <c r="K54" s="714">
        <v>254.0</v>
      </c>
      <c r="L54" s="104">
        <v>48.0</v>
      </c>
      <c r="M54" s="715">
        <v>79.0</v>
      </c>
      <c r="N54" s="713">
        <v>101.0</v>
      </c>
      <c r="O54" s="521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D55" s="398"/>
      <c r="E55" s="682"/>
      <c r="F55" s="3"/>
      <c r="G55" s="3"/>
      <c r="H55" s="3"/>
      <c r="J55" s="683"/>
      <c r="K55" s="135"/>
      <c r="L55" s="135"/>
      <c r="M55" s="603"/>
      <c r="N55" s="520"/>
      <c r="O55" s="521"/>
    </row>
    <row r="56" ht="15.75" customHeight="1">
      <c r="D56" s="398"/>
      <c r="E56" s="682"/>
      <c r="F56" s="3"/>
      <c r="G56" s="3"/>
      <c r="H56" s="3"/>
      <c r="J56" s="683"/>
      <c r="K56" s="135"/>
      <c r="L56" s="135"/>
      <c r="M56" s="603"/>
      <c r="N56" s="520"/>
      <c r="O56" s="521"/>
    </row>
    <row r="57" ht="15.75" customHeight="1">
      <c r="D57" s="398"/>
      <c r="E57" s="682"/>
      <c r="F57" s="3"/>
      <c r="G57" s="3"/>
      <c r="H57" s="3"/>
      <c r="J57" s="683"/>
      <c r="K57" s="135"/>
      <c r="L57" s="135"/>
      <c r="M57" s="603"/>
      <c r="N57" s="520"/>
      <c r="O57" s="521"/>
    </row>
    <row r="58" ht="15.75" customHeight="1">
      <c r="D58" s="398"/>
      <c r="E58" s="682"/>
      <c r="F58" s="3"/>
      <c r="G58" s="3"/>
      <c r="H58" s="3"/>
      <c r="J58" s="683"/>
      <c r="K58" s="135"/>
      <c r="L58" s="135"/>
      <c r="M58" s="603"/>
      <c r="N58" s="520"/>
      <c r="O58" s="521"/>
    </row>
    <row r="59" ht="15.75" customHeight="1">
      <c r="D59" s="398"/>
      <c r="E59" s="682"/>
      <c r="F59" s="3"/>
      <c r="G59" s="3"/>
      <c r="H59" s="3"/>
      <c r="J59" s="683"/>
      <c r="K59" s="135"/>
      <c r="L59" s="135"/>
      <c r="M59" s="603"/>
      <c r="N59" s="520"/>
      <c r="O59" s="521"/>
    </row>
    <row r="60" ht="15.75" customHeight="1">
      <c r="D60" s="398"/>
      <c r="E60" s="682"/>
      <c r="F60" s="3"/>
      <c r="G60" s="3"/>
      <c r="H60" s="3"/>
      <c r="J60" s="683"/>
      <c r="K60" s="135"/>
      <c r="L60" s="135"/>
      <c r="M60" s="603"/>
      <c r="N60" s="520"/>
      <c r="O60" s="521"/>
    </row>
    <row r="61" ht="15.75" customHeight="1">
      <c r="D61" s="398"/>
      <c r="E61" s="682"/>
      <c r="F61" s="3"/>
      <c r="G61" s="3"/>
      <c r="H61" s="3"/>
      <c r="J61" s="683"/>
      <c r="K61" s="135"/>
      <c r="L61" s="135"/>
      <c r="M61" s="603"/>
      <c r="N61" s="520"/>
      <c r="O61" s="521"/>
    </row>
    <row r="62" ht="15.75" customHeight="1">
      <c r="D62" s="398"/>
      <c r="E62" s="682"/>
      <c r="F62" s="3"/>
      <c r="G62" s="3"/>
      <c r="H62" s="3"/>
      <c r="J62" s="683"/>
      <c r="K62" s="135"/>
      <c r="L62" s="135"/>
      <c r="M62" s="603"/>
      <c r="N62" s="520"/>
      <c r="O62" s="521"/>
    </row>
    <row r="63" ht="15.75" customHeight="1">
      <c r="D63" s="398"/>
      <c r="E63" s="682"/>
      <c r="F63" s="3"/>
      <c r="G63" s="3"/>
      <c r="H63" s="3"/>
      <c r="J63" s="683"/>
      <c r="K63" s="135"/>
      <c r="L63" s="135"/>
      <c r="M63" s="603"/>
      <c r="N63" s="520"/>
      <c r="O63" s="521"/>
    </row>
    <row r="64" ht="15.75" customHeight="1">
      <c r="D64" s="398"/>
      <c r="E64" s="682"/>
      <c r="F64" s="3"/>
      <c r="G64" s="3"/>
      <c r="H64" s="3"/>
      <c r="J64" s="683"/>
      <c r="K64" s="135"/>
      <c r="L64" s="135"/>
      <c r="M64" s="603"/>
      <c r="N64" s="520"/>
      <c r="O64" s="521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683"/>
      <c r="K65" s="135"/>
      <c r="L65" s="135"/>
      <c r="M65" s="603"/>
      <c r="N65" s="520"/>
      <c r="O65" s="521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683"/>
      <c r="K66" s="135"/>
      <c r="L66" s="135"/>
      <c r="M66" s="603"/>
      <c r="N66" s="520"/>
      <c r="O66" s="521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683"/>
      <c r="K67" s="135"/>
      <c r="L67" s="135"/>
      <c r="M67" s="603"/>
      <c r="N67" s="520"/>
      <c r="O67" s="521"/>
    </row>
    <row r="68" ht="39.75" customHeight="1">
      <c r="A68" s="716" t="s">
        <v>752</v>
      </c>
      <c r="B68" s="683" t="s">
        <v>742</v>
      </c>
      <c r="C68" s="683" t="s">
        <v>742</v>
      </c>
      <c r="D68" s="111"/>
      <c r="E68" s="111"/>
      <c r="F68" s="135"/>
      <c r="G68" s="135"/>
      <c r="H68" s="3"/>
      <c r="J68" s="683"/>
      <c r="K68" s="135"/>
      <c r="L68" s="135"/>
      <c r="M68" s="603"/>
      <c r="N68" s="520"/>
      <c r="O68" s="521"/>
    </row>
    <row r="69" ht="15.75" customHeight="1">
      <c r="A69" s="716" t="s">
        <v>753</v>
      </c>
      <c r="B69" s="683" t="s">
        <v>751</v>
      </c>
      <c r="C69" s="683" t="s">
        <v>751</v>
      </c>
      <c r="D69" s="111"/>
      <c r="E69" s="111"/>
      <c r="F69" s="135"/>
      <c r="G69" s="135"/>
      <c r="H69" s="3"/>
      <c r="J69" s="683"/>
      <c r="K69" s="135"/>
      <c r="L69" s="135"/>
      <c r="M69" s="603"/>
      <c r="N69" s="520"/>
      <c r="O69" s="521"/>
    </row>
    <row r="70" ht="33.0" customHeight="1">
      <c r="A70" s="716" t="s">
        <v>754</v>
      </c>
      <c r="B70" s="683" t="s">
        <v>744</v>
      </c>
      <c r="C70" s="683" t="s">
        <v>744</v>
      </c>
      <c r="D70" s="114"/>
      <c r="E70" s="114"/>
      <c r="F70" s="717"/>
      <c r="G70" s="717"/>
      <c r="H70" s="3"/>
      <c r="J70" s="683"/>
      <c r="K70" s="135"/>
      <c r="L70" s="135"/>
      <c r="M70" s="603"/>
      <c r="N70" s="520"/>
      <c r="O70" s="521"/>
    </row>
    <row r="71" ht="15.75" customHeight="1">
      <c r="A71" s="716" t="s">
        <v>755</v>
      </c>
      <c r="B71" s="699">
        <v>50.0</v>
      </c>
      <c r="C71" s="699">
        <v>100.0</v>
      </c>
      <c r="D71" s="143"/>
      <c r="E71" s="143"/>
      <c r="F71" s="700"/>
      <c r="G71" s="700"/>
      <c r="H71" s="3"/>
      <c r="J71" s="683"/>
      <c r="K71" s="135"/>
      <c r="L71" s="135"/>
      <c r="M71" s="603"/>
      <c r="N71" s="520"/>
      <c r="O71" s="521"/>
    </row>
    <row r="72" ht="15.75" customHeight="1">
      <c r="A72" s="716" t="s">
        <v>111</v>
      </c>
      <c r="B72" s="683" t="s">
        <v>747</v>
      </c>
      <c r="C72" s="683" t="s">
        <v>747</v>
      </c>
      <c r="D72" s="111"/>
      <c r="E72" s="111"/>
      <c r="F72" s="135"/>
      <c r="G72" s="135"/>
      <c r="H72" s="3"/>
      <c r="J72" s="683"/>
      <c r="K72" s="135"/>
      <c r="L72" s="135"/>
      <c r="M72" s="603"/>
      <c r="N72" s="520"/>
      <c r="O72" s="521"/>
    </row>
    <row r="73" ht="15.75" customHeight="1">
      <c r="A73" s="716" t="s">
        <v>756</v>
      </c>
      <c r="B73" s="683" t="s">
        <v>572</v>
      </c>
      <c r="C73" s="683" t="s">
        <v>572</v>
      </c>
      <c r="D73" s="111"/>
      <c r="E73" s="111"/>
      <c r="F73" s="135"/>
      <c r="G73" s="135"/>
      <c r="H73" s="3"/>
      <c r="J73" s="683"/>
      <c r="K73" s="135"/>
      <c r="L73" s="135"/>
      <c r="M73" s="603"/>
      <c r="N73" s="520"/>
      <c r="O73" s="521"/>
    </row>
    <row r="74" ht="15.75" customHeight="1">
      <c r="A74" s="716" t="s">
        <v>708</v>
      </c>
      <c r="B74" s="683" t="s">
        <v>10</v>
      </c>
      <c r="C74" s="683" t="s">
        <v>10</v>
      </c>
      <c r="D74" s="111"/>
      <c r="E74" s="111"/>
      <c r="F74" s="135"/>
      <c r="G74" s="135"/>
      <c r="H74" s="3"/>
      <c r="J74" s="683"/>
      <c r="K74" s="135"/>
      <c r="L74" s="135"/>
      <c r="M74" s="603"/>
      <c r="N74" s="520"/>
      <c r="O74" s="521"/>
    </row>
    <row r="75" ht="15.75" customHeight="1">
      <c r="A75" s="716" t="s">
        <v>104</v>
      </c>
      <c r="B75" s="683">
        <v>10.0</v>
      </c>
      <c r="C75" s="683">
        <v>10.0</v>
      </c>
      <c r="D75" s="111"/>
      <c r="E75" s="111"/>
      <c r="F75" s="135"/>
      <c r="G75" s="135"/>
      <c r="H75" s="3"/>
      <c r="J75" s="683"/>
      <c r="K75" s="135"/>
      <c r="L75" s="135"/>
      <c r="M75" s="603"/>
      <c r="N75" s="520"/>
      <c r="O75" s="521"/>
    </row>
    <row r="76" ht="15.75" customHeight="1">
      <c r="A76" s="716" t="s">
        <v>757</v>
      </c>
      <c r="B76" s="336">
        <v>82.0</v>
      </c>
      <c r="C76" s="336">
        <v>150.0</v>
      </c>
      <c r="D76" s="718"/>
      <c r="E76" s="718"/>
      <c r="F76" s="714"/>
      <c r="G76" s="714"/>
      <c r="H76" s="3"/>
      <c r="J76" s="683"/>
      <c r="K76" s="135"/>
      <c r="L76" s="135"/>
      <c r="M76" s="603"/>
      <c r="N76" s="520"/>
      <c r="O76" s="521"/>
    </row>
    <row r="77" ht="15.75" customHeight="1">
      <c r="A77" s="3" t="s">
        <v>758</v>
      </c>
      <c r="B77" s="3"/>
      <c r="C77" s="3"/>
      <c r="D77" s="3"/>
      <c r="E77" s="3"/>
      <c r="F77" s="3"/>
      <c r="G77" s="3"/>
      <c r="H77" s="3"/>
      <c r="J77" s="683"/>
      <c r="K77" s="135"/>
      <c r="L77" s="135"/>
      <c r="M77" s="603"/>
      <c r="N77" s="520"/>
      <c r="O77" s="521"/>
    </row>
    <row r="78" ht="15.75" customHeight="1">
      <c r="A78" s="3" t="s">
        <v>759</v>
      </c>
      <c r="B78" s="3"/>
      <c r="C78" s="3"/>
      <c r="D78" s="3"/>
      <c r="E78" s="3"/>
      <c r="F78" s="3"/>
      <c r="G78" s="3"/>
      <c r="H78" s="3"/>
      <c r="J78" s="683"/>
      <c r="K78" s="135"/>
      <c r="L78" s="135"/>
      <c r="M78" s="603"/>
      <c r="N78" s="520"/>
      <c r="O78" s="521"/>
    </row>
    <row r="79" ht="15.75" customHeight="1">
      <c r="A79" s="3" t="s">
        <v>760</v>
      </c>
      <c r="B79" s="3"/>
      <c r="C79" s="3"/>
      <c r="D79" s="3"/>
      <c r="E79" s="3"/>
      <c r="F79" s="3"/>
      <c r="G79" s="3"/>
      <c r="H79" s="3"/>
      <c r="J79" s="683"/>
      <c r="K79" s="135"/>
      <c r="L79" s="135"/>
      <c r="M79" s="603"/>
      <c r="N79" s="520"/>
      <c r="O79" s="521"/>
    </row>
    <row r="80" ht="15.75" customHeight="1">
      <c r="A80" s="3"/>
      <c r="B80" s="3"/>
      <c r="C80" s="3"/>
      <c r="D80" s="3"/>
      <c r="E80" s="3"/>
      <c r="F80" s="3"/>
      <c r="G80" s="3"/>
      <c r="H80" s="3"/>
      <c r="J80" s="683"/>
      <c r="K80" s="135"/>
      <c r="L80" s="135"/>
      <c r="M80" s="603"/>
      <c r="N80" s="520"/>
      <c r="O80" s="521"/>
    </row>
    <row r="81" ht="15.75" customHeight="1">
      <c r="D81" s="398"/>
      <c r="E81" s="682"/>
      <c r="F81" s="3"/>
      <c r="G81" s="3"/>
      <c r="H81" s="3"/>
      <c r="J81" s="683"/>
      <c r="K81" s="135"/>
      <c r="L81" s="135"/>
      <c r="M81" s="603"/>
      <c r="N81" s="520"/>
      <c r="O81" s="521"/>
    </row>
    <row r="82" ht="15.75" customHeight="1">
      <c r="D82" s="398"/>
      <c r="E82" s="682"/>
      <c r="F82" s="3"/>
      <c r="G82" s="3"/>
      <c r="H82" s="3"/>
      <c r="J82" s="683"/>
      <c r="K82" s="135"/>
      <c r="L82" s="135"/>
      <c r="M82" s="603"/>
      <c r="N82" s="520"/>
      <c r="O82" s="521"/>
    </row>
    <row r="83" ht="15.75" customHeight="1">
      <c r="D83" s="398"/>
      <c r="E83" s="682"/>
      <c r="F83" s="3"/>
      <c r="G83" s="3"/>
      <c r="H83" s="3"/>
      <c r="J83" s="683"/>
      <c r="K83" s="135"/>
      <c r="L83" s="135"/>
      <c r="M83" s="603"/>
      <c r="N83" s="520"/>
      <c r="O83" s="521"/>
    </row>
    <row r="84" ht="15.75" customHeight="1">
      <c r="D84" s="398"/>
      <c r="E84" s="682"/>
      <c r="F84" s="3"/>
      <c r="G84" s="3"/>
      <c r="H84" s="3"/>
      <c r="J84" s="683"/>
      <c r="K84" s="135"/>
      <c r="L84" s="135"/>
      <c r="M84" s="603"/>
      <c r="N84" s="520"/>
      <c r="O84" s="521"/>
    </row>
    <row r="85" ht="15.75" customHeight="1">
      <c r="D85" s="398"/>
      <c r="E85" s="682"/>
      <c r="F85" s="3"/>
      <c r="G85" s="3"/>
      <c r="H85" s="3"/>
      <c r="J85" s="683"/>
      <c r="K85" s="135"/>
      <c r="L85" s="135"/>
      <c r="M85" s="603"/>
      <c r="N85" s="520"/>
      <c r="O85" s="521"/>
    </row>
    <row r="86" ht="15.75" customHeight="1">
      <c r="D86" s="398"/>
      <c r="E86" s="682"/>
      <c r="F86" s="3"/>
      <c r="G86" s="3"/>
      <c r="H86" s="3"/>
      <c r="J86" s="683"/>
      <c r="K86" s="135"/>
      <c r="L86" s="135"/>
      <c r="M86" s="603"/>
      <c r="N86" s="520"/>
      <c r="O86" s="521"/>
    </row>
    <row r="87" ht="15.75" customHeight="1">
      <c r="D87" s="398"/>
      <c r="E87" s="682"/>
      <c r="F87" s="3"/>
      <c r="G87" s="3"/>
      <c r="H87" s="3"/>
      <c r="J87" s="683"/>
      <c r="K87" s="135"/>
      <c r="L87" s="135"/>
      <c r="M87" s="603"/>
      <c r="N87" s="520"/>
      <c r="O87" s="521"/>
    </row>
    <row r="88" ht="15.75" customHeight="1">
      <c r="D88" s="398"/>
      <c r="E88" s="682"/>
      <c r="F88" s="3"/>
      <c r="G88" s="3"/>
      <c r="H88" s="3"/>
      <c r="J88" s="683"/>
      <c r="K88" s="135"/>
      <c r="L88" s="135"/>
      <c r="M88" s="603"/>
      <c r="N88" s="520"/>
      <c r="O88" s="521"/>
    </row>
    <row r="89" ht="15.75" customHeight="1">
      <c r="D89" s="398"/>
      <c r="E89" s="682"/>
      <c r="F89" s="3"/>
      <c r="G89" s="3"/>
      <c r="H89" s="3"/>
      <c r="J89" s="683"/>
      <c r="K89" s="135"/>
      <c r="L89" s="135"/>
      <c r="M89" s="603"/>
      <c r="N89" s="520"/>
      <c r="O89" s="521"/>
    </row>
    <row r="90" ht="15.75" customHeight="1">
      <c r="D90" s="398"/>
      <c r="E90" s="682"/>
      <c r="F90" s="3"/>
      <c r="G90" s="3"/>
      <c r="H90" s="3"/>
      <c r="J90" s="683"/>
      <c r="K90" s="135"/>
      <c r="L90" s="135"/>
      <c r="M90" s="603"/>
      <c r="N90" s="520"/>
      <c r="O90" s="521"/>
    </row>
    <row r="91" ht="15.75" customHeight="1">
      <c r="D91" s="398"/>
      <c r="E91" s="682"/>
      <c r="F91" s="3"/>
      <c r="G91" s="3"/>
      <c r="H91" s="3"/>
      <c r="J91" s="683"/>
      <c r="K91" s="135"/>
      <c r="L91" s="135"/>
      <c r="M91" s="603"/>
      <c r="N91" s="520"/>
      <c r="O91" s="521"/>
    </row>
    <row r="92" ht="15.75" customHeight="1">
      <c r="D92" s="398"/>
      <c r="E92" s="682"/>
      <c r="F92" s="3"/>
      <c r="G92" s="3"/>
      <c r="H92" s="3"/>
      <c r="J92" s="683"/>
      <c r="K92" s="135"/>
      <c r="L92" s="135"/>
      <c r="M92" s="603"/>
      <c r="N92" s="520"/>
      <c r="O92" s="521"/>
    </row>
    <row r="93" ht="15.75" customHeight="1">
      <c r="D93" s="398"/>
      <c r="E93" s="682"/>
      <c r="F93" s="3"/>
      <c r="G93" s="3"/>
      <c r="H93" s="3"/>
      <c r="J93" s="683"/>
      <c r="K93" s="135"/>
      <c r="L93" s="135"/>
      <c r="M93" s="603"/>
      <c r="N93" s="520"/>
      <c r="O93" s="521"/>
    </row>
    <row r="94" ht="15.75" customHeight="1">
      <c r="D94" s="398"/>
      <c r="E94" s="682"/>
      <c r="F94" s="3"/>
      <c r="G94" s="3"/>
      <c r="H94" s="3"/>
      <c r="J94" s="683"/>
      <c r="K94" s="135"/>
      <c r="L94" s="135"/>
      <c r="M94" s="603"/>
      <c r="N94" s="520"/>
      <c r="O94" s="521"/>
    </row>
    <row r="95" ht="15.75" customHeight="1">
      <c r="D95" s="398"/>
      <c r="E95" s="682"/>
      <c r="F95" s="3"/>
      <c r="G95" s="3"/>
      <c r="H95" s="3"/>
      <c r="J95" s="683"/>
      <c r="K95" s="135"/>
      <c r="L95" s="135"/>
      <c r="M95" s="603"/>
      <c r="N95" s="520"/>
      <c r="O95" s="521"/>
    </row>
    <row r="96" ht="15.75" customHeight="1">
      <c r="D96" s="398"/>
      <c r="E96" s="682"/>
      <c r="F96" s="3"/>
      <c r="G96" s="3"/>
      <c r="H96" s="3"/>
      <c r="J96" s="683"/>
      <c r="K96" s="135"/>
      <c r="L96" s="135"/>
      <c r="M96" s="603"/>
      <c r="N96" s="520"/>
      <c r="O96" s="521"/>
    </row>
    <row r="97" ht="15.75" customHeight="1">
      <c r="D97" s="398"/>
      <c r="E97" s="682"/>
      <c r="F97" s="3"/>
      <c r="G97" s="3"/>
      <c r="H97" s="3"/>
      <c r="J97" s="683"/>
      <c r="K97" s="135"/>
      <c r="L97" s="135"/>
      <c r="M97" s="603"/>
      <c r="N97" s="520"/>
      <c r="O97" s="521"/>
    </row>
    <row r="98" ht="15.75" customHeight="1">
      <c r="D98" s="398"/>
      <c r="E98" s="682"/>
      <c r="F98" s="3"/>
      <c r="G98" s="3"/>
      <c r="H98" s="3"/>
      <c r="J98" s="683"/>
      <c r="K98" s="135"/>
      <c r="L98" s="135"/>
      <c r="M98" s="603"/>
      <c r="N98" s="520"/>
      <c r="O98" s="521"/>
    </row>
    <row r="99" ht="15.75" customHeight="1">
      <c r="D99" s="398"/>
      <c r="E99" s="682"/>
      <c r="F99" s="3"/>
      <c r="G99" s="3"/>
      <c r="H99" s="3"/>
      <c r="J99" s="683"/>
      <c r="K99" s="135"/>
      <c r="L99" s="135"/>
      <c r="M99" s="603"/>
      <c r="N99" s="520"/>
      <c r="O99" s="521"/>
    </row>
    <row r="100" ht="15.75" customHeight="1">
      <c r="D100" s="398"/>
      <c r="E100" s="682"/>
      <c r="F100" s="3"/>
      <c r="G100" s="3"/>
      <c r="H100" s="3"/>
      <c r="J100" s="683"/>
      <c r="K100" s="135"/>
      <c r="L100" s="135"/>
      <c r="M100" s="603"/>
      <c r="N100" s="520"/>
      <c r="O100" s="521"/>
    </row>
    <row r="101" ht="15.75" customHeight="1">
      <c r="D101" s="398"/>
      <c r="E101" s="682"/>
      <c r="F101" s="3"/>
      <c r="G101" s="3"/>
      <c r="H101" s="3"/>
      <c r="J101" s="683"/>
      <c r="K101" s="135"/>
      <c r="L101" s="135"/>
      <c r="M101" s="603"/>
      <c r="N101" s="520"/>
      <c r="O101" s="521"/>
    </row>
    <row r="102" ht="15.75" customHeight="1">
      <c r="D102" s="398"/>
      <c r="E102" s="682"/>
      <c r="F102" s="3"/>
      <c r="G102" s="3"/>
      <c r="H102" s="3"/>
      <c r="J102" s="683"/>
      <c r="K102" s="135"/>
      <c r="L102" s="135"/>
      <c r="M102" s="603"/>
      <c r="N102" s="520"/>
      <c r="O102" s="521"/>
    </row>
    <row r="103" ht="15.75" customHeight="1">
      <c r="D103" s="398"/>
      <c r="E103" s="682"/>
      <c r="F103" s="3"/>
      <c r="G103" s="3"/>
      <c r="H103" s="3"/>
      <c r="J103" s="683"/>
      <c r="K103" s="135"/>
      <c r="L103" s="135"/>
      <c r="M103" s="603"/>
      <c r="N103" s="520"/>
      <c r="O103" s="521"/>
    </row>
    <row r="104" ht="15.75" customHeight="1">
      <c r="D104" s="398"/>
      <c r="E104" s="682"/>
      <c r="F104" s="3"/>
      <c r="G104" s="3"/>
      <c r="H104" s="3"/>
      <c r="J104" s="683"/>
      <c r="K104" s="135"/>
      <c r="L104" s="135"/>
      <c r="M104" s="603"/>
      <c r="N104" s="520"/>
      <c r="O104" s="521"/>
    </row>
    <row r="105" ht="15.75" customHeight="1">
      <c r="D105" s="398"/>
      <c r="E105" s="682"/>
      <c r="F105" s="3"/>
      <c r="G105" s="3"/>
      <c r="H105" s="3"/>
      <c r="J105" s="683"/>
      <c r="K105" s="135"/>
      <c r="L105" s="135"/>
      <c r="M105" s="603"/>
      <c r="N105" s="520"/>
      <c r="O105" s="521"/>
    </row>
    <row r="106" ht="15.75" customHeight="1">
      <c r="D106" s="398"/>
      <c r="E106" s="682"/>
      <c r="F106" s="3"/>
      <c r="G106" s="3"/>
      <c r="H106" s="3"/>
      <c r="J106" s="683"/>
      <c r="K106" s="135"/>
      <c r="L106" s="135"/>
      <c r="M106" s="603"/>
      <c r="N106" s="520"/>
      <c r="O106" s="521"/>
    </row>
    <row r="107" ht="15.75" customHeight="1">
      <c r="D107" s="398"/>
      <c r="E107" s="682"/>
      <c r="F107" s="3"/>
      <c r="G107" s="3"/>
      <c r="H107" s="3"/>
      <c r="J107" s="683"/>
      <c r="K107" s="135"/>
      <c r="L107" s="135"/>
      <c r="M107" s="603"/>
      <c r="N107" s="520"/>
      <c r="O107" s="521"/>
    </row>
    <row r="108" ht="15.75" customHeight="1">
      <c r="D108" s="398"/>
      <c r="E108" s="682"/>
      <c r="F108" s="3"/>
      <c r="G108" s="3"/>
      <c r="H108" s="3"/>
      <c r="J108" s="683"/>
      <c r="K108" s="135"/>
      <c r="L108" s="135"/>
      <c r="M108" s="603"/>
      <c r="N108" s="520"/>
      <c r="O108" s="521"/>
    </row>
    <row r="109" ht="15.75" customHeight="1">
      <c r="D109" s="398"/>
      <c r="E109" s="682"/>
      <c r="F109" s="3"/>
      <c r="G109" s="3"/>
      <c r="H109" s="3"/>
      <c r="J109" s="683"/>
      <c r="K109" s="135"/>
      <c r="L109" s="135"/>
      <c r="M109" s="603"/>
      <c r="N109" s="520"/>
      <c r="O109" s="521"/>
    </row>
    <row r="110" ht="15.75" customHeight="1">
      <c r="D110" s="398"/>
      <c r="E110" s="682"/>
      <c r="F110" s="3"/>
      <c r="G110" s="3"/>
      <c r="H110" s="3"/>
      <c r="J110" s="683"/>
      <c r="K110" s="135"/>
      <c r="L110" s="135"/>
      <c r="M110" s="603"/>
      <c r="N110" s="520"/>
      <c r="O110" s="521"/>
    </row>
    <row r="111" ht="15.75" customHeight="1">
      <c r="D111" s="398"/>
      <c r="E111" s="682"/>
      <c r="F111" s="3"/>
      <c r="G111" s="3"/>
      <c r="H111" s="3"/>
      <c r="J111" s="683"/>
      <c r="K111" s="135"/>
      <c r="L111" s="135"/>
      <c r="M111" s="603"/>
      <c r="N111" s="520"/>
      <c r="O111" s="521"/>
    </row>
    <row r="112" ht="15.75" customHeight="1">
      <c r="D112" s="398"/>
      <c r="E112" s="682"/>
      <c r="F112" s="3"/>
      <c r="G112" s="3"/>
      <c r="H112" s="3"/>
      <c r="J112" s="683"/>
      <c r="K112" s="135"/>
      <c r="L112" s="135"/>
      <c r="M112" s="603"/>
      <c r="N112" s="520"/>
      <c r="O112" s="521"/>
    </row>
    <row r="113" ht="15.75" customHeight="1">
      <c r="D113" s="398"/>
      <c r="E113" s="682"/>
      <c r="F113" s="3"/>
      <c r="G113" s="3"/>
      <c r="H113" s="3"/>
      <c r="J113" s="683"/>
      <c r="K113" s="135"/>
      <c r="L113" s="135"/>
      <c r="M113" s="603"/>
      <c r="N113" s="520"/>
      <c r="O113" s="521"/>
    </row>
    <row r="114" ht="15.75" customHeight="1">
      <c r="D114" s="398"/>
      <c r="E114" s="682"/>
      <c r="F114" s="3"/>
      <c r="G114" s="3"/>
      <c r="H114" s="3"/>
      <c r="J114" s="683"/>
      <c r="K114" s="135"/>
      <c r="L114" s="135"/>
      <c r="M114" s="603"/>
      <c r="N114" s="520"/>
      <c r="O114" s="521"/>
    </row>
    <row r="115" ht="15.75" customHeight="1">
      <c r="D115" s="398"/>
      <c r="E115" s="682"/>
      <c r="F115" s="3"/>
      <c r="G115" s="3"/>
      <c r="H115" s="3"/>
      <c r="J115" s="683"/>
      <c r="K115" s="135"/>
      <c r="L115" s="135"/>
      <c r="M115" s="603"/>
      <c r="N115" s="520"/>
      <c r="O115" s="521"/>
    </row>
    <row r="116" ht="15.75" customHeight="1">
      <c r="D116" s="398"/>
      <c r="E116" s="682"/>
      <c r="F116" s="3"/>
      <c r="G116" s="3"/>
      <c r="H116" s="3"/>
      <c r="J116" s="683"/>
      <c r="K116" s="135"/>
      <c r="L116" s="135"/>
      <c r="M116" s="603"/>
      <c r="N116" s="520"/>
      <c r="O116" s="521"/>
    </row>
    <row r="117" ht="15.75" customHeight="1">
      <c r="D117" s="398"/>
      <c r="E117" s="682"/>
      <c r="F117" s="3"/>
      <c r="G117" s="3"/>
      <c r="H117" s="3"/>
      <c r="J117" s="683"/>
      <c r="K117" s="135"/>
      <c r="L117" s="135"/>
      <c r="M117" s="603"/>
      <c r="N117" s="520"/>
      <c r="O117" s="521"/>
    </row>
    <row r="118" ht="15.75" customHeight="1">
      <c r="D118" s="398"/>
      <c r="E118" s="682"/>
      <c r="F118" s="3"/>
      <c r="G118" s="3"/>
      <c r="H118" s="3"/>
      <c r="J118" s="683"/>
      <c r="K118" s="135"/>
      <c r="L118" s="135"/>
      <c r="M118" s="603"/>
      <c r="N118" s="520"/>
      <c r="O118" s="521"/>
    </row>
    <row r="119" ht="15.75" customHeight="1">
      <c r="D119" s="398"/>
      <c r="E119" s="682"/>
      <c r="F119" s="3"/>
      <c r="G119" s="3"/>
      <c r="H119" s="3"/>
      <c r="J119" s="683"/>
      <c r="K119" s="135"/>
      <c r="L119" s="135"/>
      <c r="M119" s="603"/>
      <c r="N119" s="520"/>
      <c r="O119" s="521"/>
    </row>
    <row r="120" ht="15.75" customHeight="1">
      <c r="D120" s="398"/>
      <c r="E120" s="682"/>
      <c r="F120" s="3"/>
      <c r="G120" s="3"/>
      <c r="H120" s="3"/>
      <c r="J120" s="683"/>
      <c r="K120" s="135"/>
      <c r="L120" s="135"/>
      <c r="M120" s="603"/>
      <c r="N120" s="520"/>
      <c r="O120" s="521"/>
    </row>
    <row r="121" ht="15.75" customHeight="1">
      <c r="D121" s="398"/>
      <c r="E121" s="682"/>
      <c r="F121" s="3"/>
      <c r="G121" s="3"/>
      <c r="H121" s="3"/>
      <c r="J121" s="683"/>
      <c r="K121" s="135"/>
      <c r="L121" s="135"/>
      <c r="M121" s="603"/>
      <c r="N121" s="520"/>
      <c r="O121" s="521"/>
    </row>
    <row r="122" ht="15.75" customHeight="1">
      <c r="D122" s="398"/>
      <c r="E122" s="682"/>
      <c r="F122" s="3"/>
      <c r="G122" s="3"/>
      <c r="H122" s="3"/>
      <c r="J122" s="683"/>
      <c r="K122" s="135"/>
      <c r="L122" s="135"/>
      <c r="M122" s="603"/>
      <c r="N122" s="520"/>
      <c r="O122" s="521"/>
    </row>
    <row r="123" ht="15.75" customHeight="1">
      <c r="D123" s="398"/>
      <c r="E123" s="682"/>
      <c r="F123" s="3"/>
      <c r="G123" s="3"/>
      <c r="H123" s="3"/>
      <c r="J123" s="683"/>
      <c r="K123" s="135"/>
      <c r="L123" s="135"/>
      <c r="M123" s="603"/>
      <c r="N123" s="520"/>
      <c r="O123" s="521"/>
    </row>
    <row r="124" ht="15.75" customHeight="1">
      <c r="D124" s="398"/>
      <c r="E124" s="682"/>
      <c r="F124" s="3"/>
      <c r="G124" s="3"/>
      <c r="H124" s="3"/>
      <c r="J124" s="683"/>
      <c r="K124" s="135"/>
      <c r="L124" s="135"/>
      <c r="M124" s="603"/>
      <c r="N124" s="520"/>
      <c r="O124" s="521"/>
    </row>
    <row r="125" ht="15.75" customHeight="1">
      <c r="D125" s="398"/>
      <c r="E125" s="682"/>
      <c r="F125" s="3"/>
      <c r="G125" s="3"/>
      <c r="H125" s="3"/>
      <c r="J125" s="683"/>
      <c r="K125" s="135"/>
      <c r="L125" s="135"/>
      <c r="M125" s="603"/>
      <c r="N125" s="520"/>
      <c r="O125" s="521"/>
    </row>
    <row r="126" ht="15.75" customHeight="1">
      <c r="D126" s="398"/>
      <c r="E126" s="682"/>
      <c r="F126" s="3"/>
      <c r="G126" s="3"/>
      <c r="H126" s="3"/>
      <c r="J126" s="683"/>
      <c r="K126" s="135"/>
      <c r="L126" s="135"/>
      <c r="M126" s="603"/>
      <c r="N126" s="520"/>
      <c r="O126" s="521"/>
    </row>
    <row r="127" ht="15.75" customHeight="1">
      <c r="D127" s="398"/>
      <c r="E127" s="682"/>
      <c r="F127" s="3"/>
      <c r="G127" s="3"/>
      <c r="H127" s="3"/>
      <c r="J127" s="683"/>
      <c r="K127" s="135"/>
      <c r="L127" s="135"/>
      <c r="M127" s="603"/>
      <c r="N127" s="520"/>
      <c r="O127" s="521"/>
    </row>
    <row r="128" ht="15.75" customHeight="1">
      <c r="D128" s="398"/>
      <c r="E128" s="682"/>
      <c r="F128" s="3"/>
      <c r="G128" s="3"/>
      <c r="H128" s="3"/>
      <c r="J128" s="683"/>
      <c r="K128" s="135"/>
      <c r="L128" s="135"/>
      <c r="M128" s="603"/>
      <c r="N128" s="520"/>
      <c r="O128" s="521"/>
    </row>
    <row r="129" ht="15.75" customHeight="1">
      <c r="D129" s="398"/>
      <c r="E129" s="682"/>
      <c r="F129" s="3"/>
      <c r="G129" s="3"/>
      <c r="H129" s="3"/>
      <c r="J129" s="683"/>
      <c r="K129" s="135"/>
      <c r="L129" s="135"/>
      <c r="M129" s="603"/>
      <c r="N129" s="520"/>
      <c r="O129" s="521"/>
    </row>
    <row r="130" ht="15.75" customHeight="1">
      <c r="D130" s="398"/>
      <c r="E130" s="682"/>
      <c r="F130" s="3"/>
      <c r="G130" s="3"/>
      <c r="H130" s="3"/>
      <c r="J130" s="683"/>
      <c r="K130" s="135"/>
      <c r="L130" s="135"/>
      <c r="M130" s="603"/>
      <c r="N130" s="520"/>
      <c r="O130" s="521"/>
    </row>
    <row r="131" ht="15.75" customHeight="1">
      <c r="D131" s="398"/>
      <c r="E131" s="682"/>
      <c r="F131" s="3"/>
      <c r="G131" s="3"/>
      <c r="H131" s="3"/>
      <c r="J131" s="683"/>
      <c r="K131" s="135"/>
      <c r="L131" s="135"/>
      <c r="M131" s="603"/>
      <c r="N131" s="520"/>
      <c r="O131" s="521"/>
    </row>
    <row r="132" ht="15.75" customHeight="1">
      <c r="D132" s="398"/>
      <c r="E132" s="682"/>
      <c r="F132" s="3"/>
      <c r="G132" s="3"/>
      <c r="H132" s="3"/>
      <c r="J132" s="683"/>
      <c r="K132" s="135"/>
      <c r="L132" s="135"/>
      <c r="M132" s="603"/>
      <c r="N132" s="520"/>
      <c r="O132" s="521"/>
    </row>
    <row r="133" ht="15.75" customHeight="1">
      <c r="D133" s="398"/>
      <c r="E133" s="682"/>
      <c r="F133" s="3"/>
      <c r="G133" s="3"/>
      <c r="H133" s="3"/>
      <c r="J133" s="683"/>
      <c r="K133" s="135"/>
      <c r="L133" s="135"/>
      <c r="M133" s="603"/>
      <c r="N133" s="520"/>
      <c r="O133" s="521"/>
    </row>
    <row r="134" ht="15.75" customHeight="1">
      <c r="D134" s="398"/>
      <c r="E134" s="682"/>
      <c r="F134" s="3"/>
      <c r="G134" s="3"/>
      <c r="H134" s="3"/>
      <c r="J134" s="683"/>
      <c r="K134" s="135"/>
      <c r="L134" s="135"/>
      <c r="M134" s="603"/>
      <c r="N134" s="520"/>
      <c r="O134" s="521"/>
    </row>
    <row r="135" ht="15.75" customHeight="1">
      <c r="D135" s="398"/>
      <c r="E135" s="682"/>
      <c r="F135" s="3"/>
      <c r="G135" s="3"/>
      <c r="H135" s="3"/>
      <c r="J135" s="683"/>
      <c r="K135" s="135"/>
      <c r="L135" s="135"/>
      <c r="M135" s="603"/>
      <c r="N135" s="520"/>
      <c r="O135" s="521"/>
    </row>
    <row r="136" ht="15.75" customHeight="1">
      <c r="D136" s="398"/>
      <c r="E136" s="682"/>
      <c r="F136" s="3"/>
      <c r="G136" s="3"/>
      <c r="H136" s="3"/>
      <c r="J136" s="683"/>
      <c r="K136" s="135"/>
      <c r="L136" s="135"/>
      <c r="M136" s="603"/>
      <c r="N136" s="520"/>
      <c r="O136" s="521"/>
    </row>
    <row r="137" ht="15.75" customHeight="1">
      <c r="D137" s="398"/>
      <c r="E137" s="682"/>
      <c r="F137" s="3"/>
      <c r="G137" s="3"/>
      <c r="H137" s="3"/>
      <c r="J137" s="683"/>
      <c r="K137" s="135"/>
      <c r="L137" s="135"/>
      <c r="M137" s="603"/>
      <c r="N137" s="520"/>
      <c r="O137" s="521"/>
    </row>
    <row r="138" ht="15.75" customHeight="1">
      <c r="D138" s="398"/>
      <c r="E138" s="682"/>
      <c r="F138" s="3"/>
      <c r="G138" s="3"/>
      <c r="H138" s="3"/>
      <c r="J138" s="683"/>
      <c r="K138" s="135"/>
      <c r="L138" s="135"/>
      <c r="M138" s="603"/>
      <c r="N138" s="520"/>
      <c r="O138" s="521"/>
    </row>
    <row r="139" ht="15.75" customHeight="1">
      <c r="D139" s="398"/>
      <c r="E139" s="682"/>
      <c r="F139" s="3"/>
      <c r="G139" s="3"/>
      <c r="H139" s="3"/>
      <c r="J139" s="683"/>
      <c r="K139" s="135"/>
      <c r="L139" s="135"/>
      <c r="M139" s="603"/>
      <c r="N139" s="520"/>
      <c r="O139" s="521"/>
    </row>
    <row r="140" ht="15.75" customHeight="1">
      <c r="D140" s="398"/>
      <c r="E140" s="682"/>
      <c r="F140" s="3"/>
      <c r="G140" s="3"/>
      <c r="H140" s="3"/>
      <c r="J140" s="683"/>
      <c r="K140" s="135"/>
      <c r="L140" s="135"/>
      <c r="M140" s="603"/>
      <c r="N140" s="520"/>
      <c r="O140" s="521"/>
    </row>
    <row r="141" ht="15.75" customHeight="1">
      <c r="D141" s="398"/>
      <c r="E141" s="682"/>
      <c r="F141" s="3"/>
      <c r="G141" s="3"/>
      <c r="H141" s="3"/>
      <c r="J141" s="683"/>
      <c r="K141" s="135"/>
      <c r="L141" s="135"/>
      <c r="M141" s="603"/>
      <c r="N141" s="520"/>
      <c r="O141" s="521"/>
    </row>
    <row r="142" ht="15.75" customHeight="1">
      <c r="D142" s="398"/>
      <c r="E142" s="682"/>
      <c r="F142" s="3"/>
      <c r="G142" s="3"/>
      <c r="H142" s="3"/>
      <c r="J142" s="683"/>
      <c r="K142" s="135"/>
      <c r="L142" s="135"/>
      <c r="M142" s="603"/>
      <c r="N142" s="520"/>
      <c r="O142" s="521"/>
    </row>
    <row r="143" ht="15.75" customHeight="1">
      <c r="D143" s="398"/>
      <c r="E143" s="682"/>
      <c r="F143" s="3"/>
      <c r="G143" s="3"/>
      <c r="H143" s="3"/>
      <c r="J143" s="683"/>
      <c r="K143" s="135"/>
      <c r="L143" s="135"/>
      <c r="M143" s="603"/>
      <c r="N143" s="520"/>
      <c r="O143" s="521"/>
    </row>
    <row r="144" ht="15.75" customHeight="1">
      <c r="D144" s="398"/>
      <c r="E144" s="682"/>
      <c r="F144" s="3"/>
      <c r="G144" s="3"/>
      <c r="H144" s="3"/>
      <c r="J144" s="683"/>
      <c r="K144" s="135"/>
      <c r="L144" s="135"/>
      <c r="M144" s="603"/>
      <c r="N144" s="520"/>
      <c r="O144" s="521"/>
    </row>
    <row r="145" ht="15.75" customHeight="1">
      <c r="D145" s="398"/>
      <c r="E145" s="682"/>
      <c r="F145" s="3"/>
      <c r="G145" s="3"/>
      <c r="H145" s="3"/>
      <c r="J145" s="683"/>
      <c r="K145" s="135"/>
      <c r="L145" s="135"/>
      <c r="M145" s="603"/>
      <c r="N145" s="520"/>
      <c r="O145" s="521"/>
    </row>
    <row r="146" ht="15.75" customHeight="1">
      <c r="D146" s="398"/>
      <c r="E146" s="682"/>
      <c r="F146" s="3"/>
      <c r="G146" s="3"/>
      <c r="H146" s="3"/>
      <c r="J146" s="683"/>
      <c r="K146" s="135"/>
      <c r="L146" s="135"/>
      <c r="M146" s="603"/>
      <c r="N146" s="520"/>
      <c r="O146" s="521"/>
    </row>
    <row r="147" ht="15.75" customHeight="1">
      <c r="D147" s="398"/>
      <c r="E147" s="682"/>
      <c r="F147" s="3"/>
      <c r="G147" s="3"/>
      <c r="H147" s="3"/>
      <c r="J147" s="683"/>
      <c r="K147" s="135"/>
      <c r="L147" s="135"/>
      <c r="M147" s="603"/>
      <c r="N147" s="520"/>
      <c r="O147" s="521"/>
    </row>
    <row r="148" ht="15.75" customHeight="1">
      <c r="D148" s="398"/>
      <c r="E148" s="682"/>
      <c r="F148" s="3"/>
      <c r="G148" s="3"/>
      <c r="H148" s="3"/>
      <c r="J148" s="683"/>
      <c r="K148" s="135"/>
      <c r="L148" s="135"/>
      <c r="M148" s="603"/>
      <c r="N148" s="520"/>
      <c r="O148" s="521"/>
    </row>
    <row r="149" ht="15.75" customHeight="1">
      <c r="D149" s="398"/>
      <c r="E149" s="682"/>
      <c r="F149" s="3"/>
      <c r="G149" s="3"/>
      <c r="H149" s="3"/>
      <c r="J149" s="683"/>
      <c r="K149" s="135"/>
      <c r="L149" s="135"/>
      <c r="M149" s="603"/>
      <c r="N149" s="520"/>
      <c r="O149" s="521"/>
    </row>
    <row r="150" ht="15.75" customHeight="1">
      <c r="D150" s="398"/>
      <c r="E150" s="682"/>
      <c r="F150" s="3"/>
      <c r="G150" s="3"/>
      <c r="H150" s="3"/>
      <c r="J150" s="683"/>
      <c r="K150" s="135"/>
      <c r="L150" s="135"/>
      <c r="M150" s="603"/>
      <c r="N150" s="520"/>
      <c r="O150" s="521"/>
    </row>
    <row r="151" ht="15.75" customHeight="1">
      <c r="D151" s="398"/>
      <c r="E151" s="682"/>
      <c r="F151" s="3"/>
      <c r="G151" s="3"/>
      <c r="H151" s="3"/>
      <c r="J151" s="683"/>
      <c r="K151" s="135"/>
      <c r="L151" s="135"/>
      <c r="M151" s="603"/>
      <c r="N151" s="520"/>
      <c r="O151" s="521"/>
    </row>
    <row r="152" ht="15.75" customHeight="1">
      <c r="D152" s="398"/>
      <c r="E152" s="682"/>
      <c r="F152" s="3"/>
      <c r="G152" s="3"/>
      <c r="H152" s="3"/>
      <c r="J152" s="683"/>
      <c r="K152" s="135"/>
      <c r="L152" s="135"/>
      <c r="M152" s="603"/>
      <c r="N152" s="520"/>
      <c r="O152" s="521"/>
    </row>
    <row r="153" ht="15.75" customHeight="1">
      <c r="D153" s="398"/>
      <c r="E153" s="682"/>
      <c r="F153" s="3"/>
      <c r="G153" s="3"/>
      <c r="H153" s="3"/>
      <c r="J153" s="683"/>
      <c r="K153" s="135"/>
      <c r="L153" s="135"/>
      <c r="M153" s="603"/>
      <c r="N153" s="520"/>
      <c r="O153" s="521"/>
    </row>
    <row r="154" ht="15.75" customHeight="1">
      <c r="D154" s="398"/>
      <c r="E154" s="682"/>
      <c r="F154" s="3"/>
      <c r="G154" s="3"/>
      <c r="H154" s="3"/>
      <c r="J154" s="683"/>
      <c r="K154" s="135"/>
      <c r="L154" s="135"/>
      <c r="M154" s="603"/>
      <c r="N154" s="520"/>
      <c r="O154" s="521"/>
    </row>
    <row r="155" ht="15.75" customHeight="1">
      <c r="D155" s="398"/>
      <c r="E155" s="682"/>
      <c r="F155" s="3"/>
      <c r="G155" s="3"/>
      <c r="H155" s="3"/>
      <c r="J155" s="683"/>
      <c r="K155" s="135"/>
      <c r="L155" s="135"/>
      <c r="M155" s="603"/>
      <c r="N155" s="520"/>
      <c r="O155" s="521"/>
    </row>
    <row r="156" ht="15.75" customHeight="1">
      <c r="D156" s="398"/>
      <c r="E156" s="682"/>
      <c r="F156" s="3"/>
      <c r="G156" s="3"/>
      <c r="H156" s="3"/>
      <c r="J156" s="683"/>
      <c r="K156" s="135"/>
      <c r="L156" s="135"/>
      <c r="M156" s="603"/>
      <c r="N156" s="520"/>
      <c r="O156" s="521"/>
    </row>
    <row r="157" ht="15.75" customHeight="1">
      <c r="D157" s="398"/>
      <c r="E157" s="682"/>
      <c r="F157" s="3"/>
      <c r="G157" s="3"/>
      <c r="H157" s="3"/>
      <c r="J157" s="683"/>
      <c r="K157" s="135"/>
      <c r="L157" s="135"/>
      <c r="M157" s="603"/>
      <c r="N157" s="520"/>
      <c r="O157" s="521"/>
    </row>
    <row r="158" ht="15.75" customHeight="1">
      <c r="D158" s="398"/>
      <c r="E158" s="682"/>
      <c r="F158" s="3"/>
      <c r="G158" s="3"/>
      <c r="H158" s="3"/>
      <c r="J158" s="683"/>
      <c r="K158" s="135"/>
      <c r="L158" s="135"/>
      <c r="M158" s="603"/>
      <c r="N158" s="520"/>
      <c r="O158" s="521"/>
    </row>
    <row r="159" ht="15.75" customHeight="1">
      <c r="D159" s="398"/>
      <c r="E159" s="682"/>
      <c r="F159" s="3"/>
      <c r="G159" s="3"/>
      <c r="H159" s="3"/>
      <c r="J159" s="683"/>
      <c r="K159" s="135"/>
      <c r="L159" s="135"/>
      <c r="M159" s="603"/>
      <c r="N159" s="520"/>
      <c r="O159" s="521"/>
    </row>
    <row r="160" ht="15.75" customHeight="1">
      <c r="D160" s="398"/>
      <c r="E160" s="682"/>
      <c r="F160" s="3"/>
      <c r="G160" s="3"/>
      <c r="H160" s="3"/>
      <c r="J160" s="683"/>
      <c r="K160" s="135"/>
      <c r="L160" s="135"/>
      <c r="M160" s="603"/>
      <c r="N160" s="520"/>
      <c r="O160" s="521"/>
    </row>
    <row r="161" ht="15.75" customHeight="1">
      <c r="D161" s="398"/>
      <c r="E161" s="682"/>
      <c r="F161" s="3"/>
      <c r="G161" s="3"/>
      <c r="H161" s="3"/>
      <c r="J161" s="683"/>
      <c r="K161" s="135"/>
      <c r="L161" s="135"/>
      <c r="M161" s="603"/>
      <c r="N161" s="520"/>
      <c r="O161" s="521"/>
    </row>
    <row r="162" ht="15.75" customHeight="1">
      <c r="D162" s="398"/>
      <c r="E162" s="682"/>
      <c r="F162" s="3"/>
      <c r="G162" s="3"/>
      <c r="H162" s="3"/>
      <c r="J162" s="683"/>
      <c r="K162" s="135"/>
      <c r="L162" s="135"/>
      <c r="M162" s="603"/>
      <c r="N162" s="520"/>
      <c r="O162" s="521"/>
    </row>
    <row r="163" ht="15.75" customHeight="1">
      <c r="D163" s="398"/>
      <c r="E163" s="682"/>
      <c r="F163" s="3"/>
      <c r="G163" s="3"/>
      <c r="H163" s="3"/>
      <c r="J163" s="683"/>
      <c r="K163" s="135"/>
      <c r="L163" s="135"/>
      <c r="M163" s="603"/>
      <c r="N163" s="520"/>
      <c r="O163" s="521"/>
    </row>
    <row r="164" ht="15.75" customHeight="1">
      <c r="D164" s="398"/>
      <c r="E164" s="682"/>
      <c r="F164" s="3"/>
      <c r="G164" s="3"/>
      <c r="H164" s="3"/>
      <c r="J164" s="683"/>
      <c r="K164" s="135"/>
      <c r="L164" s="135"/>
      <c r="M164" s="603"/>
      <c r="N164" s="520"/>
      <c r="O164" s="521"/>
    </row>
    <row r="165" ht="15.75" customHeight="1">
      <c r="D165" s="398"/>
      <c r="E165" s="682"/>
      <c r="F165" s="3"/>
      <c r="G165" s="3"/>
      <c r="H165" s="3"/>
      <c r="J165" s="683"/>
      <c r="K165" s="135"/>
      <c r="L165" s="135"/>
      <c r="M165" s="603"/>
      <c r="N165" s="520"/>
      <c r="O165" s="521"/>
    </row>
    <row r="166" ht="15.75" customHeight="1">
      <c r="D166" s="398"/>
      <c r="E166" s="682"/>
      <c r="F166" s="3"/>
      <c r="G166" s="3"/>
      <c r="H166" s="3"/>
      <c r="J166" s="683"/>
      <c r="K166" s="135"/>
      <c r="L166" s="135"/>
      <c r="M166" s="603"/>
      <c r="N166" s="520"/>
      <c r="O166" s="521"/>
    </row>
    <row r="167" ht="15.75" customHeight="1">
      <c r="D167" s="398"/>
      <c r="E167" s="682"/>
      <c r="F167" s="3"/>
      <c r="G167" s="3"/>
      <c r="H167" s="3"/>
      <c r="J167" s="683"/>
      <c r="K167" s="135"/>
      <c r="L167" s="135"/>
      <c r="M167" s="603"/>
      <c r="N167" s="520"/>
      <c r="O167" s="521"/>
    </row>
    <row r="168" ht="15.75" customHeight="1">
      <c r="D168" s="398"/>
      <c r="E168" s="682"/>
      <c r="F168" s="3"/>
      <c r="G168" s="3"/>
      <c r="H168" s="3"/>
      <c r="J168" s="683"/>
      <c r="K168" s="135"/>
      <c r="L168" s="135"/>
      <c r="M168" s="603"/>
      <c r="N168" s="520"/>
      <c r="O168" s="521"/>
    </row>
    <row r="169" ht="15.75" customHeight="1">
      <c r="D169" s="398"/>
      <c r="E169" s="682"/>
      <c r="F169" s="3"/>
      <c r="G169" s="3"/>
      <c r="H169" s="3"/>
      <c r="J169" s="683"/>
      <c r="K169" s="135"/>
      <c r="L169" s="135"/>
      <c r="M169" s="603"/>
      <c r="N169" s="520"/>
      <c r="O169" s="521"/>
    </row>
    <row r="170" ht="15.75" customHeight="1">
      <c r="D170" s="398"/>
      <c r="E170" s="682"/>
      <c r="F170" s="3"/>
      <c r="G170" s="3"/>
      <c r="H170" s="3"/>
      <c r="J170" s="683"/>
      <c r="K170" s="135"/>
      <c r="L170" s="135"/>
      <c r="M170" s="603"/>
      <c r="N170" s="520"/>
      <c r="O170" s="521"/>
    </row>
    <row r="171" ht="15.75" customHeight="1">
      <c r="D171" s="398"/>
      <c r="E171" s="682"/>
      <c r="F171" s="3"/>
      <c r="G171" s="3"/>
      <c r="H171" s="3"/>
      <c r="J171" s="683"/>
      <c r="K171" s="135"/>
      <c r="L171" s="135"/>
      <c r="M171" s="603"/>
      <c r="N171" s="520"/>
      <c r="O171" s="521"/>
    </row>
    <row r="172" ht="15.75" customHeight="1">
      <c r="D172" s="398"/>
      <c r="E172" s="682"/>
      <c r="F172" s="3"/>
      <c r="G172" s="3"/>
      <c r="H172" s="3"/>
      <c r="J172" s="683"/>
      <c r="K172" s="135"/>
      <c r="L172" s="135"/>
      <c r="M172" s="603"/>
      <c r="N172" s="520"/>
      <c r="O172" s="521"/>
    </row>
    <row r="173" ht="15.75" customHeight="1">
      <c r="D173" s="398"/>
      <c r="E173" s="682"/>
      <c r="F173" s="3"/>
      <c r="G173" s="3"/>
      <c r="H173" s="3"/>
      <c r="J173" s="683"/>
      <c r="K173" s="135"/>
      <c r="L173" s="135"/>
      <c r="M173" s="603"/>
      <c r="N173" s="520"/>
      <c r="O173" s="521"/>
    </row>
    <row r="174" ht="15.75" customHeight="1">
      <c r="D174" s="398"/>
      <c r="E174" s="682"/>
      <c r="F174" s="3"/>
      <c r="G174" s="3"/>
      <c r="H174" s="3"/>
      <c r="J174" s="683"/>
      <c r="K174" s="135"/>
      <c r="L174" s="135"/>
      <c r="M174" s="603"/>
      <c r="N174" s="520"/>
      <c r="O174" s="521"/>
    </row>
    <row r="175" ht="15.75" customHeight="1">
      <c r="D175" s="398"/>
      <c r="E175" s="682"/>
      <c r="F175" s="3"/>
      <c r="G175" s="3"/>
      <c r="H175" s="3"/>
      <c r="J175" s="683"/>
      <c r="K175" s="135"/>
      <c r="L175" s="135"/>
      <c r="M175" s="603"/>
      <c r="N175" s="520"/>
      <c r="O175" s="521"/>
    </row>
    <row r="176" ht="15.75" customHeight="1">
      <c r="D176" s="398"/>
      <c r="E176" s="682"/>
      <c r="F176" s="3"/>
      <c r="G176" s="3"/>
      <c r="H176" s="3"/>
      <c r="J176" s="683"/>
      <c r="K176" s="135"/>
      <c r="L176" s="135"/>
      <c r="M176" s="603"/>
      <c r="N176" s="520"/>
      <c r="O176" s="521"/>
    </row>
    <row r="177" ht="15.75" customHeight="1">
      <c r="D177" s="398"/>
      <c r="E177" s="682"/>
      <c r="F177" s="3"/>
      <c r="G177" s="3"/>
      <c r="H177" s="3"/>
      <c r="J177" s="683"/>
      <c r="K177" s="135"/>
      <c r="L177" s="135"/>
      <c r="M177" s="603"/>
      <c r="N177" s="520"/>
      <c r="O177" s="521"/>
    </row>
    <row r="178" ht="15.75" customHeight="1">
      <c r="D178" s="398"/>
      <c r="E178" s="682"/>
      <c r="F178" s="3"/>
      <c r="G178" s="3"/>
      <c r="H178" s="3"/>
      <c r="J178" s="683"/>
      <c r="K178" s="135"/>
      <c r="L178" s="135"/>
      <c r="M178" s="603"/>
      <c r="N178" s="520"/>
      <c r="O178" s="521"/>
    </row>
    <row r="179" ht="15.75" customHeight="1">
      <c r="D179" s="398"/>
      <c r="E179" s="682"/>
      <c r="F179" s="3"/>
      <c r="G179" s="3"/>
      <c r="H179" s="3"/>
      <c r="J179" s="683"/>
      <c r="K179" s="135"/>
      <c r="L179" s="135"/>
      <c r="M179" s="603"/>
      <c r="N179" s="520"/>
      <c r="O179" s="521"/>
    </row>
    <row r="180" ht="15.75" customHeight="1">
      <c r="D180" s="398"/>
      <c r="E180" s="682"/>
      <c r="F180" s="3"/>
      <c r="G180" s="3"/>
      <c r="H180" s="3"/>
      <c r="J180" s="683"/>
      <c r="K180" s="135"/>
      <c r="L180" s="135"/>
      <c r="M180" s="603"/>
      <c r="N180" s="520"/>
      <c r="O180" s="521"/>
    </row>
    <row r="181" ht="15.75" customHeight="1">
      <c r="D181" s="398"/>
      <c r="E181" s="682"/>
      <c r="F181" s="3"/>
      <c r="G181" s="3"/>
      <c r="H181" s="3"/>
      <c r="J181" s="683"/>
      <c r="K181" s="135"/>
      <c r="L181" s="135"/>
      <c r="M181" s="603"/>
      <c r="N181" s="520"/>
      <c r="O181" s="521"/>
    </row>
    <row r="182" ht="15.75" customHeight="1">
      <c r="D182" s="398"/>
      <c r="E182" s="682"/>
      <c r="F182" s="3"/>
      <c r="G182" s="3"/>
      <c r="H182" s="3"/>
      <c r="J182" s="683"/>
      <c r="K182" s="135"/>
      <c r="L182" s="135"/>
      <c r="M182" s="603"/>
      <c r="N182" s="520"/>
      <c r="O182" s="521"/>
    </row>
    <row r="183" ht="15.75" customHeight="1">
      <c r="D183" s="398"/>
      <c r="E183" s="682"/>
      <c r="F183" s="3"/>
      <c r="G183" s="3"/>
      <c r="H183" s="3"/>
      <c r="J183" s="683"/>
      <c r="K183" s="135"/>
      <c r="L183" s="135"/>
      <c r="M183" s="603"/>
      <c r="N183" s="520"/>
      <c r="O183" s="521"/>
    </row>
    <row r="184" ht="15.75" customHeight="1">
      <c r="D184" s="398"/>
      <c r="E184" s="682"/>
      <c r="F184" s="3"/>
      <c r="G184" s="3"/>
      <c r="H184" s="3"/>
      <c r="J184" s="683"/>
      <c r="K184" s="135"/>
      <c r="L184" s="135"/>
      <c r="M184" s="603"/>
      <c r="N184" s="520"/>
      <c r="O184" s="521"/>
    </row>
    <row r="185" ht="15.75" customHeight="1">
      <c r="D185" s="398"/>
      <c r="E185" s="682"/>
      <c r="F185" s="3"/>
      <c r="G185" s="3"/>
      <c r="H185" s="3"/>
      <c r="J185" s="683"/>
      <c r="K185" s="135"/>
      <c r="L185" s="135"/>
      <c r="M185" s="603"/>
      <c r="N185" s="520"/>
      <c r="O185" s="521"/>
    </row>
    <row r="186" ht="15.75" customHeight="1">
      <c r="D186" s="398"/>
      <c r="E186" s="682"/>
      <c r="F186" s="3"/>
      <c r="G186" s="3"/>
      <c r="H186" s="3"/>
      <c r="J186" s="683"/>
      <c r="K186" s="135"/>
      <c r="L186" s="135"/>
      <c r="M186" s="603"/>
      <c r="N186" s="520"/>
      <c r="O186" s="521"/>
    </row>
    <row r="187" ht="15.75" customHeight="1">
      <c r="D187" s="398"/>
      <c r="E187" s="682"/>
      <c r="F187" s="3"/>
      <c r="G187" s="3"/>
      <c r="H187" s="3"/>
      <c r="J187" s="683"/>
      <c r="K187" s="135"/>
      <c r="L187" s="135"/>
      <c r="M187" s="603"/>
      <c r="N187" s="520"/>
      <c r="O187" s="521"/>
    </row>
    <row r="188" ht="15.75" customHeight="1">
      <c r="D188" s="398"/>
      <c r="E188" s="682"/>
      <c r="F188" s="3"/>
      <c r="G188" s="3"/>
      <c r="H188" s="3"/>
      <c r="J188" s="683"/>
      <c r="K188" s="135"/>
      <c r="L188" s="135"/>
      <c r="M188" s="603"/>
      <c r="N188" s="520"/>
      <c r="O188" s="521"/>
    </row>
    <row r="189" ht="15.75" customHeight="1">
      <c r="D189" s="398"/>
      <c r="E189" s="682"/>
      <c r="F189" s="3"/>
      <c r="G189" s="3"/>
      <c r="H189" s="3"/>
      <c r="J189" s="683"/>
      <c r="K189" s="135"/>
      <c r="L189" s="135"/>
      <c r="M189" s="603"/>
      <c r="N189" s="520"/>
      <c r="O189" s="521"/>
    </row>
    <row r="190" ht="15.75" customHeight="1">
      <c r="D190" s="398"/>
      <c r="E190" s="682"/>
      <c r="F190" s="3"/>
      <c r="G190" s="3"/>
      <c r="H190" s="3"/>
      <c r="J190" s="683"/>
      <c r="K190" s="135"/>
      <c r="L190" s="135"/>
      <c r="M190" s="603"/>
      <c r="N190" s="520"/>
      <c r="O190" s="521"/>
    </row>
    <row r="191" ht="15.75" customHeight="1">
      <c r="D191" s="398"/>
      <c r="E191" s="682"/>
      <c r="F191" s="3"/>
      <c r="G191" s="3"/>
      <c r="H191" s="3"/>
      <c r="J191" s="683"/>
      <c r="K191" s="135"/>
      <c r="L191" s="135"/>
      <c r="M191" s="603"/>
      <c r="N191" s="520"/>
      <c r="O191" s="521"/>
    </row>
    <row r="192" ht="15.75" customHeight="1">
      <c r="D192" s="398"/>
      <c r="E192" s="682"/>
      <c r="F192" s="3"/>
      <c r="G192" s="3"/>
      <c r="H192" s="3"/>
      <c r="J192" s="683"/>
      <c r="K192" s="135"/>
      <c r="L192" s="135"/>
      <c r="M192" s="603"/>
      <c r="N192" s="520"/>
      <c r="O192" s="521"/>
    </row>
    <row r="193" ht="15.75" customHeight="1">
      <c r="D193" s="398"/>
      <c r="E193" s="682"/>
      <c r="F193" s="3"/>
      <c r="G193" s="3"/>
      <c r="H193" s="3"/>
      <c r="J193" s="683"/>
      <c r="K193" s="135"/>
      <c r="L193" s="135"/>
      <c r="M193" s="603"/>
      <c r="N193" s="520"/>
      <c r="O193" s="521"/>
    </row>
    <row r="194" ht="15.75" customHeight="1">
      <c r="D194" s="398"/>
      <c r="E194" s="682"/>
      <c r="F194" s="3"/>
      <c r="G194" s="3"/>
      <c r="H194" s="3"/>
      <c r="J194" s="683"/>
      <c r="K194" s="135"/>
      <c r="L194" s="135"/>
      <c r="M194" s="603"/>
      <c r="N194" s="520"/>
      <c r="O194" s="521"/>
    </row>
    <row r="195" ht="15.75" customHeight="1">
      <c r="D195" s="398"/>
      <c r="E195" s="682"/>
      <c r="F195" s="3"/>
      <c r="G195" s="3"/>
      <c r="H195" s="3"/>
      <c r="J195" s="683"/>
      <c r="K195" s="135"/>
      <c r="L195" s="135"/>
      <c r="M195" s="603"/>
      <c r="N195" s="520"/>
      <c r="O195" s="521"/>
    </row>
    <row r="196" ht="15.75" customHeight="1">
      <c r="D196" s="398"/>
      <c r="E196" s="682"/>
      <c r="F196" s="3"/>
      <c r="G196" s="3"/>
      <c r="H196" s="3"/>
      <c r="J196" s="683"/>
      <c r="K196" s="135"/>
      <c r="L196" s="135"/>
      <c r="M196" s="603"/>
      <c r="N196" s="520"/>
      <c r="O196" s="521"/>
    </row>
    <row r="197" ht="15.75" customHeight="1">
      <c r="D197" s="398"/>
      <c r="E197" s="682"/>
      <c r="F197" s="3"/>
      <c r="G197" s="3"/>
      <c r="H197" s="3"/>
      <c r="J197" s="683"/>
      <c r="K197" s="135"/>
      <c r="L197" s="135"/>
      <c r="M197" s="603"/>
      <c r="N197" s="520"/>
      <c r="O197" s="521"/>
    </row>
    <row r="198" ht="15.75" customHeight="1">
      <c r="D198" s="398"/>
      <c r="E198" s="682"/>
      <c r="F198" s="3"/>
      <c r="G198" s="3"/>
      <c r="H198" s="3"/>
      <c r="J198" s="683"/>
      <c r="K198" s="135"/>
      <c r="L198" s="135"/>
      <c r="M198" s="603"/>
      <c r="N198" s="520"/>
      <c r="O198" s="521"/>
    </row>
    <row r="199" ht="15.75" customHeight="1">
      <c r="D199" s="398"/>
      <c r="E199" s="682"/>
      <c r="F199" s="3"/>
      <c r="G199" s="3"/>
      <c r="H199" s="3"/>
      <c r="J199" s="683"/>
      <c r="K199" s="135"/>
      <c r="L199" s="135"/>
      <c r="M199" s="603"/>
      <c r="N199" s="520"/>
      <c r="O199" s="521"/>
    </row>
    <row r="200" ht="15.75" customHeight="1">
      <c r="D200" s="398"/>
      <c r="E200" s="682"/>
      <c r="F200" s="3"/>
      <c r="G200" s="3"/>
      <c r="H200" s="3"/>
      <c r="J200" s="683"/>
      <c r="K200" s="135"/>
      <c r="L200" s="135"/>
      <c r="M200" s="603"/>
      <c r="N200" s="520"/>
      <c r="O200" s="521"/>
    </row>
    <row r="201" ht="15.75" customHeight="1">
      <c r="D201" s="398"/>
      <c r="E201" s="682"/>
      <c r="F201" s="3"/>
      <c r="G201" s="3"/>
      <c r="H201" s="3"/>
      <c r="J201" s="683"/>
      <c r="K201" s="135"/>
      <c r="L201" s="135"/>
      <c r="M201" s="603"/>
      <c r="N201" s="520"/>
      <c r="O201" s="521"/>
    </row>
    <row r="202" ht="15.75" customHeight="1">
      <c r="D202" s="398"/>
      <c r="E202" s="682"/>
      <c r="F202" s="3"/>
      <c r="G202" s="3"/>
      <c r="H202" s="3"/>
      <c r="J202" s="683"/>
      <c r="K202" s="135"/>
      <c r="L202" s="135"/>
      <c r="M202" s="603"/>
      <c r="N202" s="520"/>
      <c r="O202" s="521"/>
    </row>
    <row r="203" ht="15.75" customHeight="1">
      <c r="D203" s="398"/>
      <c r="E203" s="682"/>
      <c r="F203" s="3"/>
      <c r="G203" s="3"/>
      <c r="H203" s="3"/>
      <c r="J203" s="683"/>
      <c r="K203" s="135"/>
      <c r="L203" s="135"/>
      <c r="M203" s="603"/>
      <c r="N203" s="520"/>
      <c r="O203" s="521"/>
    </row>
    <row r="204" ht="15.75" customHeight="1">
      <c r="D204" s="398"/>
      <c r="E204" s="682"/>
      <c r="F204" s="3"/>
      <c r="G204" s="3"/>
      <c r="H204" s="3"/>
      <c r="J204" s="683"/>
      <c r="K204" s="135"/>
      <c r="L204" s="135"/>
      <c r="M204" s="603"/>
      <c r="N204" s="520"/>
      <c r="O204" s="521"/>
    </row>
    <row r="205" ht="15.75" customHeight="1">
      <c r="D205" s="398"/>
      <c r="E205" s="682"/>
      <c r="F205" s="3"/>
      <c r="G205" s="3"/>
      <c r="H205" s="3"/>
      <c r="J205" s="683"/>
      <c r="K205" s="135"/>
      <c r="L205" s="135"/>
      <c r="M205" s="603"/>
      <c r="N205" s="520"/>
      <c r="O205" s="521"/>
    </row>
    <row r="206" ht="15.75" customHeight="1">
      <c r="D206" s="398"/>
      <c r="E206" s="682"/>
      <c r="F206" s="3"/>
      <c r="G206" s="3"/>
      <c r="H206" s="3"/>
      <c r="J206" s="683"/>
      <c r="K206" s="135"/>
      <c r="L206" s="135"/>
      <c r="M206" s="603"/>
      <c r="N206" s="520"/>
      <c r="O206" s="521"/>
    </row>
    <row r="207" ht="15.75" customHeight="1">
      <c r="D207" s="398"/>
      <c r="E207" s="682"/>
      <c r="F207" s="3"/>
      <c r="G207" s="3"/>
      <c r="H207" s="3"/>
      <c r="J207" s="683"/>
      <c r="K207" s="135"/>
      <c r="L207" s="135"/>
      <c r="M207" s="603"/>
      <c r="N207" s="520"/>
      <c r="O207" s="521"/>
    </row>
    <row r="208" ht="15.75" customHeight="1">
      <c r="D208" s="398"/>
      <c r="E208" s="682"/>
      <c r="F208" s="3"/>
      <c r="G208" s="3"/>
      <c r="H208" s="3"/>
      <c r="J208" s="683"/>
      <c r="K208" s="135"/>
      <c r="L208" s="135"/>
      <c r="M208" s="603"/>
      <c r="N208" s="520"/>
      <c r="O208" s="521"/>
    </row>
    <row r="209" ht="15.75" customHeight="1">
      <c r="D209" s="398"/>
      <c r="E209" s="682"/>
      <c r="F209" s="3"/>
      <c r="G209" s="3"/>
      <c r="H209" s="3"/>
      <c r="J209" s="683"/>
      <c r="K209" s="135"/>
      <c r="L209" s="135"/>
      <c r="M209" s="603"/>
      <c r="N209" s="520"/>
      <c r="O209" s="521"/>
    </row>
    <row r="210" ht="15.75" customHeight="1">
      <c r="D210" s="398"/>
      <c r="E210" s="682"/>
      <c r="F210" s="3"/>
      <c r="G210" s="3"/>
      <c r="H210" s="3"/>
      <c r="J210" s="683"/>
      <c r="K210" s="135"/>
      <c r="L210" s="135"/>
      <c r="M210" s="603"/>
      <c r="N210" s="520"/>
      <c r="O210" s="521"/>
    </row>
    <row r="211" ht="15.75" customHeight="1">
      <c r="D211" s="398"/>
      <c r="E211" s="682"/>
      <c r="F211" s="3"/>
      <c r="G211" s="3"/>
      <c r="H211" s="3"/>
      <c r="J211" s="683"/>
      <c r="K211" s="135"/>
      <c r="L211" s="135"/>
      <c r="M211" s="603"/>
      <c r="N211" s="520"/>
      <c r="O211" s="521"/>
    </row>
    <row r="212" ht="15.75" customHeight="1">
      <c r="D212" s="398"/>
      <c r="E212" s="682"/>
      <c r="F212" s="3"/>
      <c r="G212" s="3"/>
      <c r="H212" s="3"/>
      <c r="J212" s="683"/>
      <c r="K212" s="135"/>
      <c r="L212" s="135"/>
      <c r="M212" s="603"/>
      <c r="N212" s="520"/>
      <c r="O212" s="521"/>
    </row>
    <row r="213" ht="15.75" customHeight="1">
      <c r="D213" s="398"/>
      <c r="E213" s="682"/>
      <c r="F213" s="3"/>
      <c r="G213" s="3"/>
      <c r="H213" s="3"/>
      <c r="J213" s="683"/>
      <c r="K213" s="135"/>
      <c r="L213" s="135"/>
      <c r="M213" s="603"/>
      <c r="N213" s="520"/>
      <c r="O213" s="521"/>
    </row>
    <row r="214" ht="15.75" customHeight="1">
      <c r="D214" s="398"/>
      <c r="E214" s="682"/>
      <c r="F214" s="3"/>
      <c r="G214" s="3"/>
      <c r="H214" s="3"/>
      <c r="J214" s="683"/>
      <c r="K214" s="135"/>
      <c r="L214" s="135"/>
      <c r="M214" s="603"/>
      <c r="N214" s="520"/>
      <c r="O214" s="521"/>
    </row>
    <row r="215" ht="15.75" customHeight="1">
      <c r="D215" s="398"/>
      <c r="E215" s="682"/>
      <c r="F215" s="3"/>
      <c r="G215" s="3"/>
      <c r="H215" s="3"/>
      <c r="J215" s="683"/>
      <c r="K215" s="135"/>
      <c r="L215" s="135"/>
      <c r="M215" s="603"/>
      <c r="N215" s="520"/>
      <c r="O215" s="521"/>
    </row>
    <row r="216" ht="15.75" customHeight="1">
      <c r="D216" s="398"/>
      <c r="E216" s="682"/>
      <c r="F216" s="3"/>
      <c r="G216" s="3"/>
      <c r="H216" s="3"/>
      <c r="J216" s="683"/>
      <c r="K216" s="135"/>
      <c r="L216" s="135"/>
      <c r="M216" s="603"/>
      <c r="N216" s="520"/>
      <c r="O216" s="521"/>
    </row>
    <row r="217" ht="15.75" customHeight="1">
      <c r="D217" s="398"/>
      <c r="E217" s="682"/>
      <c r="F217" s="3"/>
      <c r="G217" s="3"/>
      <c r="H217" s="3"/>
      <c r="J217" s="683"/>
      <c r="K217" s="135"/>
      <c r="L217" s="135"/>
      <c r="M217" s="603"/>
      <c r="N217" s="520"/>
      <c r="O217" s="521"/>
    </row>
    <row r="218" ht="15.75" customHeight="1">
      <c r="D218" s="398"/>
      <c r="E218" s="682"/>
      <c r="F218" s="3"/>
      <c r="G218" s="3"/>
      <c r="H218" s="3"/>
      <c r="J218" s="683"/>
      <c r="K218" s="135"/>
      <c r="L218" s="135"/>
      <c r="M218" s="603"/>
      <c r="N218" s="520"/>
      <c r="O218" s="521"/>
    </row>
    <row r="219" ht="15.75" customHeight="1">
      <c r="D219" s="398"/>
      <c r="E219" s="682"/>
      <c r="F219" s="3"/>
      <c r="G219" s="3"/>
      <c r="H219" s="3"/>
      <c r="J219" s="683"/>
      <c r="K219" s="135"/>
      <c r="L219" s="135"/>
      <c r="M219" s="603"/>
      <c r="N219" s="520"/>
      <c r="O219" s="521"/>
    </row>
    <row r="220" ht="15.75" customHeight="1">
      <c r="D220" s="398"/>
      <c r="E220" s="682"/>
      <c r="F220" s="3"/>
      <c r="G220" s="3"/>
      <c r="H220" s="3"/>
      <c r="J220" s="683"/>
      <c r="K220" s="135"/>
      <c r="L220" s="135"/>
      <c r="M220" s="603"/>
      <c r="N220" s="520"/>
      <c r="O220" s="521"/>
    </row>
    <row r="221" ht="15.75" customHeight="1">
      <c r="D221" s="398"/>
      <c r="E221" s="682"/>
      <c r="F221" s="3"/>
      <c r="G221" s="3"/>
      <c r="H221" s="3"/>
      <c r="J221" s="683"/>
      <c r="K221" s="135"/>
      <c r="L221" s="135"/>
      <c r="M221" s="603"/>
      <c r="N221" s="520"/>
      <c r="O221" s="521"/>
    </row>
    <row r="222" ht="15.75" customHeight="1">
      <c r="D222" s="398"/>
      <c r="E222" s="682"/>
      <c r="F222" s="3"/>
      <c r="G222" s="3"/>
      <c r="H222" s="3"/>
      <c r="J222" s="683"/>
      <c r="K222" s="135"/>
      <c r="L222" s="135"/>
      <c r="M222" s="603"/>
      <c r="N222" s="520"/>
      <c r="O222" s="521"/>
    </row>
    <row r="223" ht="15.75" customHeight="1">
      <c r="D223" s="398"/>
      <c r="E223" s="682"/>
      <c r="F223" s="3"/>
      <c r="G223" s="3"/>
      <c r="H223" s="3"/>
      <c r="J223" s="683"/>
      <c r="K223" s="135"/>
      <c r="L223" s="135"/>
      <c r="M223" s="603"/>
      <c r="N223" s="520"/>
      <c r="O223" s="521"/>
    </row>
    <row r="224" ht="15.75" customHeight="1">
      <c r="D224" s="398"/>
      <c r="E224" s="682"/>
      <c r="F224" s="3"/>
      <c r="G224" s="3"/>
      <c r="H224" s="3"/>
      <c r="J224" s="683"/>
      <c r="K224" s="135"/>
      <c r="L224" s="135"/>
      <c r="M224" s="603"/>
      <c r="N224" s="520"/>
      <c r="O224" s="521"/>
    </row>
    <row r="225" ht="15.75" customHeight="1">
      <c r="D225" s="398"/>
      <c r="E225" s="682"/>
      <c r="F225" s="3"/>
      <c r="G225" s="3"/>
      <c r="H225" s="3"/>
      <c r="J225" s="683"/>
      <c r="K225" s="135"/>
      <c r="L225" s="135"/>
      <c r="M225" s="603"/>
      <c r="N225" s="520"/>
      <c r="O225" s="521"/>
    </row>
    <row r="226" ht="15.75" customHeight="1">
      <c r="D226" s="398"/>
      <c r="E226" s="682"/>
      <c r="F226" s="3"/>
      <c r="G226" s="3"/>
      <c r="H226" s="3"/>
      <c r="J226" s="683"/>
      <c r="K226" s="135"/>
      <c r="L226" s="135"/>
      <c r="M226" s="603"/>
      <c r="N226" s="520"/>
      <c r="O226" s="521"/>
    </row>
    <row r="227" ht="15.75" customHeight="1">
      <c r="D227" s="398"/>
      <c r="E227" s="682"/>
      <c r="F227" s="3"/>
      <c r="G227" s="3"/>
      <c r="H227" s="3"/>
      <c r="J227" s="683"/>
      <c r="K227" s="135"/>
      <c r="L227" s="135"/>
      <c r="M227" s="603"/>
      <c r="N227" s="520"/>
      <c r="O227" s="521"/>
    </row>
    <row r="228" ht="15.75" customHeight="1">
      <c r="D228" s="398"/>
      <c r="E228" s="682"/>
      <c r="F228" s="3"/>
      <c r="G228" s="3"/>
      <c r="H228" s="3"/>
      <c r="J228" s="683"/>
      <c r="K228" s="135"/>
      <c r="L228" s="135"/>
      <c r="M228" s="603"/>
      <c r="N228" s="520"/>
      <c r="O228" s="521"/>
    </row>
    <row r="229" ht="15.75" customHeight="1">
      <c r="D229" s="398"/>
      <c r="E229" s="682"/>
      <c r="F229" s="3"/>
      <c r="G229" s="3"/>
      <c r="H229" s="3"/>
      <c r="J229" s="683"/>
      <c r="K229" s="135"/>
      <c r="L229" s="135"/>
      <c r="M229" s="603"/>
      <c r="N229" s="520"/>
      <c r="O229" s="521"/>
    </row>
    <row r="230" ht="15.75" customHeight="1">
      <c r="D230" s="398"/>
      <c r="E230" s="682"/>
      <c r="F230" s="3"/>
      <c r="G230" s="3"/>
      <c r="H230" s="3"/>
      <c r="J230" s="683"/>
      <c r="K230" s="135"/>
      <c r="L230" s="135"/>
      <c r="M230" s="603"/>
      <c r="N230" s="520"/>
      <c r="O230" s="521"/>
    </row>
    <row r="231" ht="15.75" customHeight="1">
      <c r="D231" s="398"/>
      <c r="E231" s="682"/>
      <c r="F231" s="3"/>
      <c r="G231" s="3"/>
      <c r="H231" s="3"/>
      <c r="J231" s="683"/>
      <c r="K231" s="135"/>
      <c r="L231" s="135"/>
      <c r="M231" s="603"/>
      <c r="N231" s="520"/>
      <c r="O231" s="521"/>
    </row>
    <row r="232" ht="15.75" customHeight="1">
      <c r="D232" s="398"/>
      <c r="E232" s="682"/>
      <c r="F232" s="3"/>
      <c r="G232" s="3"/>
      <c r="H232" s="3"/>
      <c r="J232" s="683"/>
      <c r="K232" s="135"/>
      <c r="L232" s="135"/>
      <c r="M232" s="603"/>
      <c r="N232" s="520"/>
      <c r="O232" s="521"/>
    </row>
    <row r="233" ht="15.75" customHeight="1">
      <c r="D233" s="398"/>
      <c r="E233" s="682"/>
      <c r="F233" s="3"/>
      <c r="G233" s="3"/>
      <c r="H233" s="3"/>
      <c r="J233" s="683"/>
      <c r="K233" s="135"/>
      <c r="L233" s="135"/>
      <c r="M233" s="603"/>
      <c r="N233" s="520"/>
      <c r="O233" s="521"/>
    </row>
    <row r="234" ht="15.75" customHeight="1">
      <c r="D234" s="398"/>
      <c r="E234" s="682"/>
      <c r="F234" s="3"/>
      <c r="G234" s="3"/>
      <c r="H234" s="3"/>
      <c r="J234" s="683"/>
      <c r="K234" s="135"/>
      <c r="L234" s="135"/>
      <c r="M234" s="603"/>
      <c r="N234" s="520"/>
      <c r="O234" s="521"/>
    </row>
    <row r="235" ht="15.75" customHeight="1">
      <c r="D235" s="398"/>
      <c r="E235" s="682"/>
      <c r="F235" s="3"/>
      <c r="G235" s="3"/>
      <c r="H235" s="3"/>
      <c r="J235" s="683"/>
      <c r="K235" s="135"/>
      <c r="L235" s="135"/>
      <c r="M235" s="603"/>
      <c r="N235" s="520"/>
      <c r="O235" s="521"/>
    </row>
    <row r="236" ht="15.75" customHeight="1">
      <c r="D236" s="398"/>
      <c r="E236" s="682"/>
      <c r="F236" s="3"/>
      <c r="G236" s="3"/>
      <c r="H236" s="3"/>
      <c r="J236" s="683"/>
      <c r="K236" s="135"/>
      <c r="L236" s="135"/>
      <c r="M236" s="603"/>
      <c r="N236" s="520"/>
      <c r="O236" s="521"/>
    </row>
    <row r="237" ht="15.75" customHeight="1">
      <c r="D237" s="398"/>
      <c r="E237" s="682"/>
      <c r="F237" s="3"/>
      <c r="G237" s="3"/>
      <c r="H237" s="3"/>
      <c r="J237" s="683"/>
      <c r="K237" s="135"/>
      <c r="L237" s="135"/>
      <c r="M237" s="603"/>
      <c r="N237" s="520"/>
      <c r="O237" s="521"/>
    </row>
    <row r="238" ht="15.75" customHeight="1">
      <c r="D238" s="398"/>
      <c r="E238" s="682"/>
      <c r="F238" s="3"/>
      <c r="G238" s="3"/>
      <c r="H238" s="3"/>
      <c r="J238" s="683"/>
      <c r="K238" s="135"/>
      <c r="L238" s="135"/>
      <c r="M238" s="603"/>
      <c r="N238" s="520"/>
      <c r="O238" s="521"/>
    </row>
    <row r="239" ht="15.75" customHeight="1">
      <c r="D239" s="398"/>
      <c r="E239" s="682"/>
      <c r="F239" s="3"/>
      <c r="G239" s="3"/>
      <c r="H239" s="3"/>
      <c r="J239" s="683"/>
      <c r="K239" s="135"/>
      <c r="L239" s="135"/>
      <c r="M239" s="603"/>
      <c r="N239" s="520"/>
      <c r="O239" s="521"/>
    </row>
    <row r="240" ht="15.75" customHeight="1">
      <c r="D240" s="398"/>
      <c r="E240" s="682"/>
      <c r="F240" s="3"/>
      <c r="G240" s="3"/>
      <c r="H240" s="3"/>
      <c r="J240" s="683"/>
      <c r="K240" s="135"/>
      <c r="L240" s="135"/>
      <c r="M240" s="603"/>
      <c r="N240" s="520"/>
      <c r="O240" s="521"/>
    </row>
    <row r="241" ht="15.75" customHeight="1">
      <c r="D241" s="398"/>
      <c r="E241" s="682"/>
      <c r="F241" s="3"/>
      <c r="G241" s="3"/>
      <c r="H241" s="3"/>
      <c r="J241" s="683"/>
      <c r="K241" s="135"/>
      <c r="L241" s="135"/>
      <c r="M241" s="603"/>
      <c r="N241" s="520"/>
      <c r="O241" s="521"/>
    </row>
    <row r="242" ht="15.75" customHeight="1">
      <c r="D242" s="398"/>
      <c r="E242" s="682"/>
      <c r="F242" s="3"/>
      <c r="G242" s="3"/>
      <c r="H242" s="3"/>
      <c r="J242" s="683"/>
      <c r="K242" s="135"/>
      <c r="L242" s="135"/>
      <c r="M242" s="603"/>
      <c r="N242" s="520"/>
      <c r="O242" s="521"/>
    </row>
    <row r="243" ht="15.75" customHeight="1">
      <c r="D243" s="398"/>
      <c r="E243" s="682"/>
      <c r="F243" s="3"/>
      <c r="G243" s="3"/>
      <c r="H243" s="3"/>
      <c r="J243" s="683"/>
      <c r="K243" s="135"/>
      <c r="L243" s="135"/>
      <c r="M243" s="603"/>
      <c r="N243" s="520"/>
      <c r="O243" s="521"/>
    </row>
    <row r="244" ht="15.75" customHeight="1">
      <c r="D244" s="398"/>
      <c r="E244" s="682"/>
      <c r="F244" s="3"/>
      <c r="G244" s="3"/>
      <c r="H244" s="3"/>
      <c r="J244" s="683"/>
      <c r="K244" s="135"/>
      <c r="L244" s="135"/>
      <c r="M244" s="603"/>
      <c r="N244" s="520"/>
      <c r="O244" s="521"/>
    </row>
    <row r="245" ht="15.75" customHeight="1">
      <c r="D245" s="398"/>
      <c r="E245" s="682"/>
      <c r="F245" s="3"/>
      <c r="G245" s="3"/>
      <c r="H245" s="3"/>
      <c r="J245" s="683"/>
      <c r="K245" s="135"/>
      <c r="L245" s="135"/>
      <c r="M245" s="603"/>
      <c r="N245" s="520"/>
      <c r="O245" s="521"/>
    </row>
    <row r="246" ht="15.75" customHeight="1">
      <c r="D246" s="398"/>
      <c r="E246" s="682"/>
      <c r="F246" s="3"/>
      <c r="G246" s="3"/>
      <c r="H246" s="3"/>
      <c r="J246" s="683"/>
      <c r="K246" s="135"/>
      <c r="L246" s="135"/>
      <c r="M246" s="603"/>
      <c r="N246" s="520"/>
      <c r="O246" s="521"/>
    </row>
    <row r="247" ht="15.75" customHeight="1">
      <c r="D247" s="398"/>
      <c r="E247" s="682"/>
      <c r="F247" s="3"/>
      <c r="G247" s="3"/>
      <c r="H247" s="3"/>
      <c r="J247" s="683"/>
      <c r="K247" s="135"/>
      <c r="L247" s="135"/>
      <c r="M247" s="603"/>
      <c r="N247" s="520"/>
      <c r="O247" s="521"/>
    </row>
    <row r="248" ht="15.75" customHeight="1">
      <c r="D248" s="398"/>
      <c r="E248" s="682"/>
      <c r="F248" s="3"/>
      <c r="G248" s="3"/>
      <c r="H248" s="3"/>
      <c r="J248" s="683"/>
      <c r="K248" s="135"/>
      <c r="L248" s="135"/>
      <c r="M248" s="603"/>
      <c r="N248" s="520"/>
      <c r="O248" s="521"/>
    </row>
    <row r="249" ht="15.75" customHeight="1">
      <c r="D249" s="398"/>
      <c r="E249" s="682"/>
      <c r="F249" s="3"/>
      <c r="G249" s="3"/>
      <c r="H249" s="3"/>
      <c r="J249" s="683"/>
      <c r="K249" s="135"/>
      <c r="L249" s="135"/>
      <c r="M249" s="603"/>
      <c r="N249" s="520"/>
      <c r="O249" s="521"/>
    </row>
    <row r="250" ht="15.75" customHeight="1">
      <c r="D250" s="398"/>
      <c r="E250" s="682"/>
      <c r="F250" s="3"/>
      <c r="G250" s="3"/>
      <c r="H250" s="3"/>
      <c r="J250" s="683"/>
      <c r="K250" s="135"/>
      <c r="L250" s="135"/>
      <c r="M250" s="603"/>
      <c r="N250" s="520"/>
      <c r="O250" s="521"/>
    </row>
    <row r="251" ht="15.75" customHeight="1">
      <c r="D251" s="398"/>
      <c r="E251" s="682"/>
      <c r="F251" s="3"/>
      <c r="G251" s="3"/>
      <c r="H251" s="3"/>
      <c r="J251" s="683"/>
      <c r="K251" s="135"/>
      <c r="L251" s="135"/>
      <c r="M251" s="603"/>
      <c r="N251" s="520"/>
      <c r="O251" s="521"/>
    </row>
    <row r="252" ht="15.75" customHeight="1">
      <c r="D252" s="398"/>
      <c r="E252" s="682"/>
      <c r="F252" s="3"/>
      <c r="G252" s="3"/>
      <c r="H252" s="3"/>
      <c r="J252" s="683"/>
      <c r="K252" s="135"/>
      <c r="L252" s="135"/>
      <c r="M252" s="603"/>
      <c r="N252" s="520"/>
      <c r="O252" s="521"/>
    </row>
    <row r="253" ht="15.75" customHeight="1">
      <c r="D253" s="398"/>
      <c r="E253" s="682"/>
      <c r="F253" s="3"/>
      <c r="G253" s="3"/>
      <c r="H253" s="3"/>
      <c r="J253" s="683"/>
      <c r="K253" s="135"/>
      <c r="L253" s="135"/>
      <c r="M253" s="603"/>
      <c r="N253" s="520"/>
      <c r="O253" s="521"/>
    </row>
    <row r="254" ht="15.75" customHeight="1">
      <c r="D254" s="398"/>
      <c r="E254" s="682"/>
      <c r="F254" s="3"/>
      <c r="G254" s="3"/>
      <c r="H254" s="3"/>
      <c r="J254" s="683"/>
      <c r="K254" s="135"/>
      <c r="L254" s="135"/>
      <c r="M254" s="603"/>
      <c r="N254" s="520"/>
      <c r="O254" s="521"/>
    </row>
    <row r="255" ht="15.75" customHeight="1">
      <c r="D255" s="398"/>
      <c r="E255" s="682"/>
      <c r="F255" s="3"/>
      <c r="G255" s="3"/>
      <c r="H255" s="3"/>
      <c r="J255" s="683"/>
      <c r="K255" s="135"/>
      <c r="L255" s="135"/>
      <c r="M255" s="603"/>
      <c r="N255" s="520"/>
      <c r="O255" s="521"/>
    </row>
    <row r="256" ht="15.75" customHeight="1">
      <c r="D256" s="398"/>
      <c r="E256" s="682"/>
      <c r="F256" s="3"/>
      <c r="G256" s="3"/>
      <c r="H256" s="3"/>
      <c r="J256" s="683"/>
      <c r="K256" s="135"/>
      <c r="L256" s="135"/>
      <c r="M256" s="603"/>
      <c r="N256" s="520"/>
      <c r="O256" s="521"/>
    </row>
    <row r="257" ht="15.75" customHeight="1">
      <c r="D257" s="398"/>
      <c r="E257" s="682"/>
      <c r="F257" s="3"/>
      <c r="G257" s="3"/>
      <c r="H257" s="3"/>
      <c r="J257" s="683"/>
      <c r="K257" s="135"/>
      <c r="L257" s="135"/>
      <c r="M257" s="603"/>
      <c r="N257" s="520"/>
      <c r="O257" s="521"/>
    </row>
    <row r="258" ht="15.75" customHeight="1">
      <c r="D258" s="398"/>
      <c r="E258" s="682"/>
      <c r="F258" s="3"/>
      <c r="G258" s="3"/>
      <c r="H258" s="3"/>
      <c r="J258" s="683"/>
      <c r="K258" s="135"/>
      <c r="L258" s="135"/>
      <c r="M258" s="603"/>
      <c r="N258" s="520"/>
      <c r="O258" s="521"/>
    </row>
    <row r="259" ht="15.75" customHeight="1">
      <c r="D259" s="398"/>
      <c r="E259" s="682"/>
      <c r="F259" s="3"/>
      <c r="G259" s="3"/>
      <c r="H259" s="3"/>
      <c r="J259" s="683"/>
      <c r="K259" s="135"/>
      <c r="L259" s="135"/>
      <c r="M259" s="603"/>
      <c r="N259" s="520"/>
      <c r="O259" s="521"/>
    </row>
    <row r="260" ht="15.75" customHeight="1">
      <c r="D260" s="398"/>
      <c r="E260" s="682"/>
      <c r="F260" s="3"/>
      <c r="G260" s="3"/>
      <c r="H260" s="3"/>
      <c r="J260" s="683"/>
      <c r="K260" s="135"/>
      <c r="L260" s="135"/>
      <c r="M260" s="603"/>
      <c r="N260" s="520"/>
      <c r="O260" s="521"/>
    </row>
    <row r="261" ht="15.75" customHeight="1">
      <c r="D261" s="398"/>
      <c r="E261" s="682"/>
      <c r="F261" s="3"/>
      <c r="G261" s="3"/>
      <c r="H261" s="3"/>
      <c r="J261" s="683"/>
      <c r="K261" s="135"/>
      <c r="L261" s="135"/>
      <c r="M261" s="603"/>
      <c r="N261" s="520"/>
      <c r="O261" s="521"/>
    </row>
    <row r="262" ht="15.75" customHeight="1">
      <c r="D262" s="398"/>
      <c r="E262" s="682"/>
      <c r="F262" s="3"/>
      <c r="G262" s="3"/>
      <c r="H262" s="3"/>
      <c r="J262" s="683"/>
      <c r="K262" s="135"/>
      <c r="L262" s="135"/>
      <c r="M262" s="603"/>
      <c r="N262" s="520"/>
      <c r="O262" s="521"/>
    </row>
    <row r="263" ht="15.75" customHeight="1">
      <c r="D263" s="398"/>
      <c r="E263" s="682"/>
      <c r="F263" s="3"/>
      <c r="G263" s="3"/>
      <c r="H263" s="3"/>
      <c r="J263" s="683"/>
      <c r="K263" s="135"/>
      <c r="L263" s="135"/>
      <c r="M263" s="603"/>
      <c r="N263" s="520"/>
      <c r="O263" s="521"/>
    </row>
    <row r="264" ht="15.75" customHeight="1">
      <c r="D264" s="398"/>
      <c r="E264" s="682"/>
      <c r="F264" s="3"/>
      <c r="G264" s="3"/>
      <c r="H264" s="3"/>
      <c r="J264" s="683"/>
      <c r="K264" s="135"/>
      <c r="L264" s="135"/>
      <c r="M264" s="603"/>
      <c r="N264" s="520"/>
      <c r="O264" s="521"/>
    </row>
    <row r="265" ht="15.75" customHeight="1">
      <c r="D265" s="398"/>
      <c r="E265" s="682"/>
      <c r="F265" s="3"/>
      <c r="G265" s="3"/>
      <c r="H265" s="3"/>
      <c r="J265" s="683"/>
      <c r="K265" s="135"/>
      <c r="L265" s="135"/>
      <c r="M265" s="603"/>
      <c r="N265" s="520"/>
      <c r="O265" s="521"/>
    </row>
    <row r="266" ht="15.75" customHeight="1">
      <c r="D266" s="398"/>
      <c r="E266" s="682"/>
      <c r="F266" s="3"/>
      <c r="G266" s="3"/>
      <c r="H266" s="3"/>
      <c r="J266" s="683"/>
      <c r="K266" s="135"/>
      <c r="L266" s="135"/>
      <c r="M266" s="603"/>
      <c r="N266" s="520"/>
      <c r="O266" s="521"/>
    </row>
    <row r="267" ht="15.75" customHeight="1">
      <c r="D267" s="398"/>
      <c r="E267" s="682"/>
      <c r="F267" s="3"/>
      <c r="G267" s="3"/>
      <c r="H267" s="3"/>
      <c r="J267" s="683"/>
      <c r="K267" s="135"/>
      <c r="L267" s="135"/>
      <c r="M267" s="603"/>
      <c r="N267" s="520"/>
      <c r="O267" s="521"/>
    </row>
    <row r="268" ht="15.75" customHeight="1">
      <c r="D268" s="398"/>
      <c r="E268" s="682"/>
      <c r="F268" s="3"/>
      <c r="G268" s="3"/>
      <c r="H268" s="3"/>
      <c r="J268" s="683"/>
      <c r="K268" s="135"/>
      <c r="L268" s="135"/>
      <c r="M268" s="603"/>
      <c r="N268" s="520"/>
      <c r="O268" s="521"/>
    </row>
    <row r="269" ht="15.75" customHeight="1">
      <c r="D269" s="398"/>
      <c r="E269" s="682"/>
      <c r="F269" s="3"/>
      <c r="G269" s="3"/>
      <c r="H269" s="3"/>
      <c r="J269" s="683"/>
      <c r="K269" s="135"/>
      <c r="L269" s="135"/>
      <c r="M269" s="603"/>
      <c r="N269" s="520"/>
      <c r="O269" s="521"/>
    </row>
    <row r="270" ht="15.75" customHeight="1">
      <c r="D270" s="398"/>
      <c r="E270" s="682"/>
      <c r="F270" s="3"/>
      <c r="G270" s="3"/>
      <c r="H270" s="3"/>
      <c r="J270" s="683"/>
      <c r="K270" s="135"/>
      <c r="L270" s="135"/>
      <c r="M270" s="603"/>
      <c r="N270" s="520"/>
      <c r="O270" s="521"/>
    </row>
    <row r="271" ht="15.75" customHeight="1">
      <c r="D271" s="398"/>
      <c r="E271" s="682"/>
      <c r="F271" s="3"/>
      <c r="G271" s="3"/>
      <c r="H271" s="3"/>
      <c r="J271" s="683"/>
      <c r="K271" s="135"/>
      <c r="L271" s="135"/>
      <c r="M271" s="603"/>
      <c r="N271" s="520"/>
      <c r="O271" s="521"/>
    </row>
    <row r="272" ht="15.75" customHeight="1">
      <c r="D272" s="398"/>
      <c r="E272" s="682"/>
      <c r="F272" s="3"/>
      <c r="G272" s="3"/>
      <c r="H272" s="3"/>
      <c r="J272" s="683"/>
      <c r="K272" s="135"/>
      <c r="L272" s="135"/>
      <c r="M272" s="603"/>
      <c r="N272" s="520"/>
      <c r="O272" s="521"/>
    </row>
    <row r="273" ht="15.75" customHeight="1">
      <c r="D273" s="398"/>
      <c r="E273" s="682"/>
      <c r="F273" s="3"/>
      <c r="G273" s="3"/>
      <c r="H273" s="3"/>
      <c r="J273" s="683"/>
      <c r="K273" s="135"/>
      <c r="L273" s="135"/>
      <c r="M273" s="603"/>
      <c r="N273" s="520"/>
      <c r="O273" s="521"/>
    </row>
    <row r="274" ht="15.75" customHeight="1">
      <c r="D274" s="398"/>
      <c r="E274" s="682"/>
      <c r="F274" s="3"/>
      <c r="G274" s="3"/>
      <c r="H274" s="3"/>
      <c r="J274" s="683"/>
      <c r="K274" s="135"/>
      <c r="L274" s="135"/>
      <c r="M274" s="603"/>
      <c r="N274" s="520"/>
      <c r="O274" s="521"/>
    </row>
    <row r="275" ht="15.75" customHeight="1">
      <c r="D275" s="398"/>
      <c r="E275" s="682"/>
      <c r="F275" s="3"/>
      <c r="G275" s="3"/>
      <c r="H275" s="3"/>
      <c r="J275" s="683"/>
      <c r="K275" s="135"/>
      <c r="L275" s="135"/>
      <c r="M275" s="603"/>
      <c r="N275" s="520"/>
      <c r="O275" s="521"/>
    </row>
    <row r="276" ht="15.75" customHeight="1">
      <c r="D276" s="398"/>
      <c r="E276" s="682"/>
      <c r="F276" s="3"/>
      <c r="G276" s="3"/>
      <c r="H276" s="3"/>
      <c r="J276" s="683"/>
      <c r="K276" s="135"/>
      <c r="L276" s="135"/>
      <c r="M276" s="603"/>
      <c r="N276" s="520"/>
      <c r="O276" s="521"/>
    </row>
    <row r="277" ht="15.75" customHeight="1">
      <c r="D277" s="398"/>
      <c r="E277" s="682"/>
      <c r="F277" s="3"/>
      <c r="G277" s="3"/>
      <c r="H277" s="3"/>
      <c r="J277" s="683"/>
      <c r="K277" s="135"/>
      <c r="L277" s="135"/>
      <c r="M277" s="603"/>
      <c r="N277" s="520"/>
      <c r="O277" s="521"/>
    </row>
    <row r="278" ht="15.75" customHeight="1">
      <c r="D278" s="398"/>
      <c r="E278" s="682"/>
      <c r="F278" s="3"/>
      <c r="G278" s="3"/>
      <c r="H278" s="3"/>
      <c r="J278" s="683"/>
      <c r="K278" s="135"/>
      <c r="L278" s="135"/>
      <c r="M278" s="603"/>
      <c r="N278" s="520"/>
      <c r="O278" s="521"/>
    </row>
    <row r="279" ht="15.75" customHeight="1">
      <c r="D279" s="398"/>
      <c r="E279" s="682"/>
      <c r="F279" s="3"/>
      <c r="G279" s="3"/>
      <c r="H279" s="3"/>
      <c r="J279" s="683"/>
      <c r="K279" s="135"/>
      <c r="L279" s="135"/>
      <c r="M279" s="603"/>
      <c r="N279" s="520"/>
      <c r="O279" s="52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E1"/>
    <mergeCell ref="F1:I1"/>
    <mergeCell ref="J1:M1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9.14"/>
  </cols>
  <sheetData>
    <row r="1">
      <c r="A1" s="3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494" t="s">
        <v>509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3" t="s">
        <v>761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3"/>
      <c r="N4" s="3"/>
      <c r="O4" s="135" t="s">
        <v>762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>
      <c r="A5" s="3"/>
      <c r="B5" s="3" t="s">
        <v>487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35">
        <v>0.9</v>
      </c>
      <c r="P5" s="135" t="s">
        <v>763</v>
      </c>
      <c r="Q5" s="135"/>
      <c r="R5" s="135"/>
      <c r="S5" s="135"/>
      <c r="T5" s="135"/>
      <c r="U5" s="135"/>
      <c r="V5" s="135"/>
      <c r="W5" s="135"/>
      <c r="X5" s="135"/>
      <c r="Y5" s="13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35" t="s">
        <v>496</v>
      </c>
      <c r="P6" s="719" t="s">
        <v>473</v>
      </c>
      <c r="Q6" s="11"/>
      <c r="R6" s="12"/>
      <c r="S6" s="720" t="s">
        <v>494</v>
      </c>
      <c r="T6" s="11"/>
      <c r="U6" s="12"/>
      <c r="V6" s="721" t="s">
        <v>495</v>
      </c>
      <c r="W6" s="12"/>
      <c r="X6" s="722" t="s">
        <v>497</v>
      </c>
      <c r="Y6" s="12"/>
    </row>
    <row r="7">
      <c r="A7" s="3"/>
      <c r="B7" s="723">
        <v>0.9</v>
      </c>
      <c r="C7" s="724" t="s">
        <v>763</v>
      </c>
      <c r="D7" s="491"/>
      <c r="E7" s="491"/>
      <c r="F7" s="491"/>
      <c r="G7" s="491"/>
      <c r="H7" s="491"/>
      <c r="I7" s="491"/>
      <c r="J7" s="491"/>
      <c r="K7" s="491"/>
      <c r="L7" s="492"/>
      <c r="M7" s="3"/>
      <c r="N7" s="3"/>
      <c r="O7" s="135" t="s">
        <v>104</v>
      </c>
      <c r="P7" s="725" t="s">
        <v>10</v>
      </c>
      <c r="Q7" s="725" t="s">
        <v>467</v>
      </c>
      <c r="R7" s="725" t="s">
        <v>11</v>
      </c>
      <c r="S7" s="726" t="s">
        <v>11</v>
      </c>
      <c r="T7" s="726" t="s">
        <v>467</v>
      </c>
      <c r="U7" s="726" t="s">
        <v>11</v>
      </c>
      <c r="V7" s="727" t="s">
        <v>10</v>
      </c>
      <c r="W7" s="727" t="s">
        <v>11</v>
      </c>
      <c r="X7" s="728" t="s">
        <v>10</v>
      </c>
      <c r="Y7" s="728" t="s">
        <v>11</v>
      </c>
    </row>
    <row r="8">
      <c r="A8" s="3"/>
      <c r="B8" s="281" t="s">
        <v>496</v>
      </c>
      <c r="C8" s="496" t="s">
        <v>473</v>
      </c>
      <c r="D8" s="515"/>
      <c r="E8" s="497"/>
      <c r="F8" s="496" t="s">
        <v>494</v>
      </c>
      <c r="G8" s="515"/>
      <c r="H8" s="476"/>
      <c r="I8" s="729" t="s">
        <v>495</v>
      </c>
      <c r="J8" s="476"/>
      <c r="K8" s="496" t="s">
        <v>497</v>
      </c>
      <c r="L8" s="476"/>
      <c r="M8" s="3"/>
      <c r="N8" s="3"/>
      <c r="O8" s="135">
        <v>100.0</v>
      </c>
      <c r="P8" s="730">
        <v>158.4</v>
      </c>
      <c r="Q8" s="730">
        <v>190.8</v>
      </c>
      <c r="R8" s="730">
        <v>205.20000000000002</v>
      </c>
      <c r="S8" s="731">
        <v>181.8</v>
      </c>
      <c r="T8" s="731">
        <v>219.6</v>
      </c>
      <c r="U8" s="731">
        <v>237.6</v>
      </c>
      <c r="V8" s="732">
        <v>208.8</v>
      </c>
      <c r="W8" s="732">
        <v>328.5</v>
      </c>
      <c r="X8" s="733">
        <v>229.5</v>
      </c>
      <c r="Y8" s="733">
        <v>360.0</v>
      </c>
    </row>
    <row r="9">
      <c r="A9" s="3"/>
      <c r="B9" s="281" t="s">
        <v>104</v>
      </c>
      <c r="C9" s="734" t="s">
        <v>10</v>
      </c>
      <c r="D9" s="735" t="s">
        <v>467</v>
      </c>
      <c r="E9" s="736" t="s">
        <v>11</v>
      </c>
      <c r="F9" s="737" t="s">
        <v>11</v>
      </c>
      <c r="G9" s="735" t="s">
        <v>467</v>
      </c>
      <c r="H9" s="736" t="s">
        <v>11</v>
      </c>
      <c r="I9" s="738" t="s">
        <v>10</v>
      </c>
      <c r="J9" s="502" t="s">
        <v>11</v>
      </c>
      <c r="K9" s="502" t="s">
        <v>10</v>
      </c>
      <c r="L9" s="502" t="s">
        <v>11</v>
      </c>
      <c r="M9" s="3"/>
      <c r="N9" s="3"/>
      <c r="O9" s="135">
        <v>200.0</v>
      </c>
      <c r="P9" s="730">
        <v>198.0</v>
      </c>
      <c r="Q9" s="730">
        <v>238.5</v>
      </c>
      <c r="R9" s="730">
        <v>257.40000000000003</v>
      </c>
      <c r="S9" s="731">
        <v>227.70000000000002</v>
      </c>
      <c r="T9" s="731">
        <v>274.5</v>
      </c>
      <c r="U9" s="731">
        <v>297.0</v>
      </c>
      <c r="V9" s="732">
        <v>261.0</v>
      </c>
      <c r="W9" s="732">
        <v>410.40000000000003</v>
      </c>
      <c r="X9" s="733">
        <v>288.0</v>
      </c>
      <c r="Y9" s="733">
        <v>450.0</v>
      </c>
    </row>
    <row r="10">
      <c r="A10" s="3"/>
      <c r="B10" s="281">
        <v>100.0</v>
      </c>
      <c r="C10" s="739">
        <f t="shared" ref="C10:L10" si="1">C22*$BH$7</f>
        <v>0</v>
      </c>
      <c r="D10" s="739">
        <f t="shared" si="1"/>
        <v>0</v>
      </c>
      <c r="E10" s="739">
        <f t="shared" si="1"/>
        <v>0</v>
      </c>
      <c r="F10" s="739">
        <f t="shared" si="1"/>
        <v>0</v>
      </c>
      <c r="G10" s="739">
        <f t="shared" si="1"/>
        <v>0</v>
      </c>
      <c r="H10" s="739">
        <f t="shared" si="1"/>
        <v>0</v>
      </c>
      <c r="I10" s="739">
        <f t="shared" si="1"/>
        <v>0</v>
      </c>
      <c r="J10" s="739">
        <f t="shared" si="1"/>
        <v>0</v>
      </c>
      <c r="K10" s="739">
        <f t="shared" si="1"/>
        <v>0</v>
      </c>
      <c r="L10" s="739">
        <f t="shared" si="1"/>
        <v>0</v>
      </c>
      <c r="M10" s="3"/>
      <c r="N10" s="3"/>
      <c r="O10" s="135">
        <v>300.0</v>
      </c>
      <c r="P10" s="730">
        <v>277.2</v>
      </c>
      <c r="Q10" s="730">
        <v>333.0</v>
      </c>
      <c r="R10" s="730">
        <v>360.0</v>
      </c>
      <c r="S10" s="731">
        <v>318.6</v>
      </c>
      <c r="T10" s="731">
        <v>384.3</v>
      </c>
      <c r="U10" s="731">
        <v>415.8</v>
      </c>
      <c r="V10" s="732">
        <v>365.40000000000003</v>
      </c>
      <c r="W10" s="732">
        <v>576.0</v>
      </c>
      <c r="X10" s="733">
        <v>378.0</v>
      </c>
      <c r="Y10" s="733">
        <v>633.6</v>
      </c>
    </row>
    <row r="11">
      <c r="A11" s="3"/>
      <c r="B11" s="281">
        <v>200.0</v>
      </c>
      <c r="C11" s="739">
        <f t="shared" ref="C11:L11" si="2">C23*$BH$7</f>
        <v>0</v>
      </c>
      <c r="D11" s="739">
        <f t="shared" si="2"/>
        <v>0</v>
      </c>
      <c r="E11" s="739">
        <f t="shared" si="2"/>
        <v>0</v>
      </c>
      <c r="F11" s="739">
        <f t="shared" si="2"/>
        <v>0</v>
      </c>
      <c r="G11" s="739">
        <f t="shared" si="2"/>
        <v>0</v>
      </c>
      <c r="H11" s="739">
        <f t="shared" si="2"/>
        <v>0</v>
      </c>
      <c r="I11" s="739">
        <f t="shared" si="2"/>
        <v>0</v>
      </c>
      <c r="J11" s="739">
        <f t="shared" si="2"/>
        <v>0</v>
      </c>
      <c r="K11" s="739">
        <f t="shared" si="2"/>
        <v>0</v>
      </c>
      <c r="L11" s="739">
        <f t="shared" si="2"/>
        <v>0</v>
      </c>
      <c r="M11" s="3"/>
      <c r="N11" s="3"/>
      <c r="O11" s="135">
        <v>500.0</v>
      </c>
      <c r="P11" s="730">
        <v>396.0</v>
      </c>
      <c r="Q11" s="730">
        <v>477.0</v>
      </c>
      <c r="R11" s="730">
        <v>514.8000000000001</v>
      </c>
      <c r="S11" s="731">
        <v>455.40000000000003</v>
      </c>
      <c r="T11" s="731">
        <v>549.0</v>
      </c>
      <c r="U11" s="731">
        <v>594.0</v>
      </c>
      <c r="V11" s="732">
        <v>522.0</v>
      </c>
      <c r="W11" s="732">
        <v>821.7</v>
      </c>
      <c r="X11" s="733">
        <v>574.2</v>
      </c>
      <c r="Y11" s="733">
        <v>900.0</v>
      </c>
    </row>
    <row r="12">
      <c r="A12" s="3"/>
      <c r="B12" s="281">
        <v>300.0</v>
      </c>
      <c r="C12" s="739">
        <f t="shared" ref="C12:L12" si="3">C24*$BH$7</f>
        <v>0</v>
      </c>
      <c r="D12" s="739">
        <f t="shared" si="3"/>
        <v>0</v>
      </c>
      <c r="E12" s="739">
        <f t="shared" si="3"/>
        <v>0</v>
      </c>
      <c r="F12" s="739">
        <f t="shared" si="3"/>
        <v>0</v>
      </c>
      <c r="G12" s="739">
        <f t="shared" si="3"/>
        <v>0</v>
      </c>
      <c r="H12" s="739">
        <f t="shared" si="3"/>
        <v>0</v>
      </c>
      <c r="I12" s="739">
        <f t="shared" si="3"/>
        <v>0</v>
      </c>
      <c r="J12" s="739">
        <f t="shared" si="3"/>
        <v>0</v>
      </c>
      <c r="K12" s="739">
        <f t="shared" si="3"/>
        <v>0</v>
      </c>
      <c r="L12" s="739">
        <f t="shared" si="3"/>
        <v>0</v>
      </c>
      <c r="M12" s="3"/>
      <c r="N12" s="3"/>
      <c r="O12" s="135">
        <v>1000.0</v>
      </c>
      <c r="P12" s="730">
        <v>666.0</v>
      </c>
      <c r="Q12" s="730">
        <v>792.0</v>
      </c>
      <c r="R12" s="730">
        <v>855.9</v>
      </c>
      <c r="S12" s="731">
        <v>765.0</v>
      </c>
      <c r="T12" s="731">
        <v>910.8000000000001</v>
      </c>
      <c r="U12" s="731">
        <v>981.0</v>
      </c>
      <c r="V12" s="732">
        <v>875.7</v>
      </c>
      <c r="W12" s="732">
        <v>1153.8</v>
      </c>
      <c r="X12" s="733">
        <v>963.0</v>
      </c>
      <c r="Y12" s="733">
        <v>1269.0</v>
      </c>
    </row>
    <row r="13">
      <c r="A13" s="3"/>
      <c r="B13" s="281">
        <v>500.0</v>
      </c>
      <c r="C13" s="739">
        <f t="shared" ref="C13:L13" si="4">C25*$BH$7</f>
        <v>0</v>
      </c>
      <c r="D13" s="739">
        <f t="shared" si="4"/>
        <v>0</v>
      </c>
      <c r="E13" s="739">
        <f t="shared" si="4"/>
        <v>0</v>
      </c>
      <c r="F13" s="739">
        <f t="shared" si="4"/>
        <v>0</v>
      </c>
      <c r="G13" s="739">
        <f t="shared" si="4"/>
        <v>0</v>
      </c>
      <c r="H13" s="739">
        <f t="shared" si="4"/>
        <v>0</v>
      </c>
      <c r="I13" s="739">
        <f t="shared" si="4"/>
        <v>0</v>
      </c>
      <c r="J13" s="739">
        <f t="shared" si="4"/>
        <v>0</v>
      </c>
      <c r="K13" s="739">
        <f t="shared" si="4"/>
        <v>0</v>
      </c>
      <c r="L13" s="739">
        <f t="shared" si="4"/>
        <v>0</v>
      </c>
      <c r="M13" s="3"/>
      <c r="N13" s="3"/>
      <c r="O13" s="135"/>
      <c r="P13" s="730"/>
      <c r="Q13" s="730"/>
      <c r="R13" s="730"/>
      <c r="S13" s="731"/>
      <c r="T13" s="731"/>
      <c r="U13" s="731"/>
      <c r="V13" s="732"/>
      <c r="W13" s="732"/>
      <c r="X13" s="733"/>
      <c r="Y13" s="733"/>
    </row>
    <row r="14">
      <c r="A14" s="3"/>
      <c r="B14" s="281">
        <v>1000.0</v>
      </c>
      <c r="C14" s="739">
        <f t="shared" ref="C14:L14" si="5">C26*$BH$7</f>
        <v>0</v>
      </c>
      <c r="D14" s="739">
        <f t="shared" si="5"/>
        <v>0</v>
      </c>
      <c r="E14" s="739">
        <f t="shared" si="5"/>
        <v>0</v>
      </c>
      <c r="F14" s="739">
        <f t="shared" si="5"/>
        <v>0</v>
      </c>
      <c r="G14" s="739">
        <f t="shared" si="5"/>
        <v>0</v>
      </c>
      <c r="H14" s="739">
        <f t="shared" si="5"/>
        <v>0</v>
      </c>
      <c r="I14" s="739">
        <f t="shared" si="5"/>
        <v>0</v>
      </c>
      <c r="J14" s="739">
        <f t="shared" si="5"/>
        <v>0</v>
      </c>
      <c r="K14" s="739">
        <f t="shared" si="5"/>
        <v>0</v>
      </c>
      <c r="L14" s="739">
        <f t="shared" si="5"/>
        <v>0</v>
      </c>
      <c r="M14" s="3"/>
      <c r="N14" s="3"/>
      <c r="O14" s="135"/>
      <c r="P14" s="730"/>
      <c r="Q14" s="730"/>
      <c r="R14" s="730"/>
      <c r="S14" s="731"/>
      <c r="T14" s="731"/>
      <c r="U14" s="731"/>
      <c r="V14" s="732"/>
      <c r="W14" s="732"/>
      <c r="X14" s="733"/>
      <c r="Y14" s="73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35"/>
      <c r="P15" s="730"/>
      <c r="Q15" s="730"/>
      <c r="R15" s="730"/>
      <c r="S15" s="731"/>
      <c r="T15" s="731"/>
      <c r="U15" s="731"/>
      <c r="V15" s="732"/>
      <c r="W15" s="732"/>
      <c r="X15" s="733"/>
      <c r="Y15" s="73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35" t="s">
        <v>764</v>
      </c>
      <c r="P16" s="730"/>
      <c r="Q16" s="730"/>
      <c r="R16" s="730"/>
      <c r="S16" s="731"/>
      <c r="T16" s="731"/>
      <c r="U16" s="731"/>
      <c r="V16" s="732"/>
      <c r="W16" s="732"/>
      <c r="X16" s="733"/>
      <c r="Y16" s="73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35" t="s">
        <v>515</v>
      </c>
      <c r="P17" s="730"/>
      <c r="Q17" s="730"/>
      <c r="R17" s="730"/>
      <c r="S17" s="731"/>
      <c r="T17" s="731"/>
      <c r="U17" s="731"/>
      <c r="V17" s="732"/>
      <c r="W17" s="732"/>
      <c r="X17" s="733"/>
      <c r="Y17" s="733"/>
    </row>
    <row r="18">
      <c r="A18" s="3"/>
      <c r="B18" s="3" t="s">
        <v>765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 t="s">
        <v>496</v>
      </c>
      <c r="P18" s="719" t="s">
        <v>473</v>
      </c>
      <c r="Q18" s="11"/>
      <c r="R18" s="12"/>
      <c r="S18" s="720" t="s">
        <v>494</v>
      </c>
      <c r="T18" s="11"/>
      <c r="U18" s="12"/>
      <c r="V18" s="721" t="s">
        <v>495</v>
      </c>
      <c r="W18" s="12"/>
      <c r="X18" s="722" t="s">
        <v>497</v>
      </c>
      <c r="Y18" s="12"/>
    </row>
    <row r="19">
      <c r="A19" s="3"/>
      <c r="B19" s="565" t="s">
        <v>515</v>
      </c>
      <c r="C19" s="491"/>
      <c r="D19" s="491"/>
      <c r="E19" s="491"/>
      <c r="F19" s="491"/>
      <c r="G19" s="491"/>
      <c r="H19" s="491"/>
      <c r="I19" s="491"/>
      <c r="J19" s="491"/>
      <c r="K19" s="491"/>
      <c r="L19" s="492"/>
      <c r="M19" s="3"/>
      <c r="N19" s="3"/>
      <c r="O19" s="135" t="s">
        <v>104</v>
      </c>
      <c r="P19" s="730" t="s">
        <v>10</v>
      </c>
      <c r="Q19" s="730" t="s">
        <v>467</v>
      </c>
      <c r="R19" s="730" t="s">
        <v>11</v>
      </c>
      <c r="S19" s="731" t="s">
        <v>11</v>
      </c>
      <c r="T19" s="731" t="s">
        <v>467</v>
      </c>
      <c r="U19" s="731" t="s">
        <v>11</v>
      </c>
      <c r="V19" s="732" t="s">
        <v>10</v>
      </c>
      <c r="W19" s="732" t="s">
        <v>11</v>
      </c>
      <c r="X19" s="733" t="s">
        <v>10</v>
      </c>
      <c r="Y19" s="733" t="s">
        <v>11</v>
      </c>
    </row>
    <row r="20">
      <c r="A20" s="3"/>
      <c r="B20" s="281" t="s">
        <v>496</v>
      </c>
      <c r="C20" s="496" t="s">
        <v>473</v>
      </c>
      <c r="D20" s="515"/>
      <c r="E20" s="497"/>
      <c r="F20" s="496" t="s">
        <v>494</v>
      </c>
      <c r="G20" s="515"/>
      <c r="H20" s="476"/>
      <c r="I20" s="729" t="s">
        <v>495</v>
      </c>
      <c r="J20" s="476"/>
      <c r="K20" s="496" t="s">
        <v>497</v>
      </c>
      <c r="L20" s="476"/>
      <c r="M20" s="3"/>
      <c r="N20" s="3"/>
      <c r="O20" s="135">
        <v>100.0</v>
      </c>
      <c r="P20" s="730">
        <v>176.0</v>
      </c>
      <c r="Q20" s="730">
        <v>212.0</v>
      </c>
      <c r="R20" s="730">
        <v>228.0</v>
      </c>
      <c r="S20" s="731">
        <v>202.0</v>
      </c>
      <c r="T20" s="731">
        <v>244.0</v>
      </c>
      <c r="U20" s="731">
        <v>264.0</v>
      </c>
      <c r="V20" s="732">
        <v>232.0</v>
      </c>
      <c r="W20" s="732">
        <v>365.0</v>
      </c>
      <c r="X20" s="733">
        <v>255.0</v>
      </c>
      <c r="Y20" s="733">
        <v>400.0</v>
      </c>
    </row>
    <row r="21" ht="15.75" customHeight="1">
      <c r="A21" s="3"/>
      <c r="B21" s="281" t="s">
        <v>104</v>
      </c>
      <c r="C21" s="734" t="s">
        <v>10</v>
      </c>
      <c r="D21" s="735" t="s">
        <v>467</v>
      </c>
      <c r="E21" s="736" t="s">
        <v>11</v>
      </c>
      <c r="F21" s="737" t="s">
        <v>11</v>
      </c>
      <c r="G21" s="735" t="s">
        <v>467</v>
      </c>
      <c r="H21" s="736" t="s">
        <v>11</v>
      </c>
      <c r="I21" s="738" t="s">
        <v>10</v>
      </c>
      <c r="J21" s="502" t="s">
        <v>11</v>
      </c>
      <c r="K21" s="502" t="s">
        <v>10</v>
      </c>
      <c r="L21" s="502" t="s">
        <v>11</v>
      </c>
      <c r="M21" s="3"/>
      <c r="N21" s="123"/>
      <c r="O21" s="378">
        <v>200.0</v>
      </c>
      <c r="P21" s="730">
        <v>220.0</v>
      </c>
      <c r="Q21" s="730">
        <v>265.0</v>
      </c>
      <c r="R21" s="730">
        <v>286.0</v>
      </c>
      <c r="S21" s="731">
        <v>253.0</v>
      </c>
      <c r="T21" s="731">
        <v>305.0</v>
      </c>
      <c r="U21" s="731">
        <v>330.0</v>
      </c>
      <c r="V21" s="732">
        <v>290.0</v>
      </c>
      <c r="W21" s="732">
        <v>456.0</v>
      </c>
      <c r="X21" s="733">
        <v>320.0</v>
      </c>
      <c r="Y21" s="733">
        <v>500.0</v>
      </c>
    </row>
    <row r="22" ht="15.75" customHeight="1">
      <c r="A22" s="3">
        <v>40.0</v>
      </c>
      <c r="B22" s="281">
        <v>100.0</v>
      </c>
      <c r="C22" s="739">
        <v>176.0</v>
      </c>
      <c r="D22" s="511">
        <v>212.0</v>
      </c>
      <c r="E22" s="740">
        <v>228.0</v>
      </c>
      <c r="F22" s="739">
        <v>202.0</v>
      </c>
      <c r="G22" s="511">
        <v>244.0</v>
      </c>
      <c r="H22" s="740">
        <v>264.0</v>
      </c>
      <c r="I22" s="741">
        <v>232.0</v>
      </c>
      <c r="J22" s="511">
        <v>365.0</v>
      </c>
      <c r="K22" s="511">
        <v>255.0</v>
      </c>
      <c r="L22" s="511">
        <v>400.0</v>
      </c>
      <c r="M22" s="3"/>
      <c r="N22" s="123"/>
      <c r="O22" s="378">
        <v>300.0</v>
      </c>
      <c r="P22" s="730">
        <v>308.0</v>
      </c>
      <c r="Q22" s="730">
        <v>370.0</v>
      </c>
      <c r="R22" s="730">
        <v>400.0</v>
      </c>
      <c r="S22" s="731">
        <v>354.0</v>
      </c>
      <c r="T22" s="731">
        <v>427.0</v>
      </c>
      <c r="U22" s="731">
        <v>462.0</v>
      </c>
      <c r="V22" s="732">
        <v>406.0</v>
      </c>
      <c r="W22" s="732">
        <v>640.0</v>
      </c>
      <c r="X22" s="733">
        <v>420.0</v>
      </c>
      <c r="Y22" s="733">
        <v>704.0</v>
      </c>
    </row>
    <row r="23" ht="15.75" customHeight="1">
      <c r="A23" s="3">
        <v>50.0</v>
      </c>
      <c r="B23" s="281">
        <v>200.0</v>
      </c>
      <c r="C23" s="739">
        <v>220.0</v>
      </c>
      <c r="D23" s="511">
        <v>265.0</v>
      </c>
      <c r="E23" s="740">
        <v>286.0</v>
      </c>
      <c r="F23" s="739">
        <v>253.0</v>
      </c>
      <c r="G23" s="511">
        <v>305.0</v>
      </c>
      <c r="H23" s="740">
        <v>330.0</v>
      </c>
      <c r="I23" s="741">
        <v>290.0</v>
      </c>
      <c r="J23" s="511">
        <v>456.0</v>
      </c>
      <c r="K23" s="511">
        <v>320.0</v>
      </c>
      <c r="L23" s="511">
        <v>500.0</v>
      </c>
      <c r="M23" s="3"/>
      <c r="N23" s="123"/>
      <c r="O23" s="378">
        <v>500.0</v>
      </c>
      <c r="P23" s="730">
        <v>440.0</v>
      </c>
      <c r="Q23" s="730">
        <v>530.0</v>
      </c>
      <c r="R23" s="730">
        <v>572.0</v>
      </c>
      <c r="S23" s="731">
        <v>506.0</v>
      </c>
      <c r="T23" s="731">
        <v>610.0</v>
      </c>
      <c r="U23" s="731">
        <v>660.0</v>
      </c>
      <c r="V23" s="732">
        <v>580.0</v>
      </c>
      <c r="W23" s="732">
        <v>913.0</v>
      </c>
      <c r="X23" s="733">
        <v>638.0</v>
      </c>
      <c r="Y23" s="733">
        <v>1000.0</v>
      </c>
    </row>
    <row r="24" ht="15.75" customHeight="1">
      <c r="A24" s="3">
        <v>70.0</v>
      </c>
      <c r="B24" s="281">
        <v>300.0</v>
      </c>
      <c r="C24" s="739">
        <v>308.0</v>
      </c>
      <c r="D24" s="511">
        <v>370.0</v>
      </c>
      <c r="E24" s="740">
        <v>400.0</v>
      </c>
      <c r="F24" s="739">
        <v>354.0</v>
      </c>
      <c r="G24" s="511">
        <v>427.0</v>
      </c>
      <c r="H24" s="740">
        <v>462.0</v>
      </c>
      <c r="I24" s="741">
        <v>406.0</v>
      </c>
      <c r="J24" s="511">
        <v>640.0</v>
      </c>
      <c r="K24" s="511">
        <v>420.0</v>
      </c>
      <c r="L24" s="511">
        <v>704.0</v>
      </c>
      <c r="M24" s="3"/>
      <c r="N24" s="123"/>
      <c r="O24" s="378">
        <v>1000.0</v>
      </c>
      <c r="P24" s="730">
        <v>740.0</v>
      </c>
      <c r="Q24" s="730">
        <v>880.0</v>
      </c>
      <c r="R24" s="730">
        <v>951.0</v>
      </c>
      <c r="S24" s="731">
        <v>850.0</v>
      </c>
      <c r="T24" s="731">
        <v>1012.0</v>
      </c>
      <c r="U24" s="731">
        <v>1090.0</v>
      </c>
      <c r="V24" s="732">
        <v>973.0</v>
      </c>
      <c r="W24" s="732">
        <v>1282.0</v>
      </c>
      <c r="X24" s="733">
        <v>1070.0</v>
      </c>
      <c r="Y24" s="733">
        <v>1410.0</v>
      </c>
    </row>
    <row r="25" ht="15.75" customHeight="1">
      <c r="A25" s="3"/>
      <c r="B25" s="281">
        <v>500.0</v>
      </c>
      <c r="C25" s="739">
        <v>440.0</v>
      </c>
      <c r="D25" s="511">
        <v>530.0</v>
      </c>
      <c r="E25" s="740">
        <v>572.0</v>
      </c>
      <c r="F25" s="739">
        <v>506.0</v>
      </c>
      <c r="G25" s="511">
        <v>610.0</v>
      </c>
      <c r="H25" s="740">
        <v>660.0</v>
      </c>
      <c r="I25" s="741">
        <v>580.0</v>
      </c>
      <c r="J25" s="511">
        <v>913.0</v>
      </c>
      <c r="K25" s="511">
        <v>638.0</v>
      </c>
      <c r="L25" s="511">
        <v>1000.0</v>
      </c>
      <c r="M25" s="3"/>
      <c r="N25" s="123"/>
      <c r="O25" s="123"/>
      <c r="P25" s="742"/>
      <c r="Q25" s="742"/>
      <c r="R25" s="742"/>
      <c r="S25" s="743"/>
      <c r="T25" s="743"/>
      <c r="U25" s="743"/>
      <c r="V25" s="744"/>
      <c r="W25" s="744"/>
      <c r="X25" s="672"/>
      <c r="Y25" s="745"/>
    </row>
    <row r="26" ht="15.75" customHeight="1">
      <c r="A26" s="3"/>
      <c r="B26" s="281">
        <v>1000.0</v>
      </c>
      <c r="C26" s="746">
        <v>740.0</v>
      </c>
      <c r="D26" s="747">
        <v>880.0</v>
      </c>
      <c r="E26" s="748">
        <v>951.0</v>
      </c>
      <c r="F26" s="746">
        <v>850.0</v>
      </c>
      <c r="G26" s="747">
        <v>1012.0</v>
      </c>
      <c r="H26" s="748">
        <v>1090.0</v>
      </c>
      <c r="I26" s="741">
        <v>973.0</v>
      </c>
      <c r="J26" s="511">
        <v>1282.0</v>
      </c>
      <c r="K26" s="511">
        <v>1070.0</v>
      </c>
      <c r="L26" s="511">
        <v>1410.0</v>
      </c>
      <c r="M26" s="3"/>
      <c r="N26" s="123"/>
      <c r="O26" s="123"/>
      <c r="P26" s="742"/>
      <c r="Q26" s="742"/>
      <c r="R26" s="742"/>
      <c r="S26" s="743"/>
      <c r="T26" s="743"/>
      <c r="U26" s="743"/>
      <c r="V26" s="744"/>
      <c r="W26" s="744"/>
      <c r="X26" s="672"/>
      <c r="Y26" s="745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2">
        <v>1.2</v>
      </c>
      <c r="P27" s="749" t="s">
        <v>763</v>
      </c>
      <c r="Q27" s="749"/>
      <c r="R27" s="749"/>
      <c r="S27" s="750"/>
      <c r="T27" s="750"/>
      <c r="U27" s="750"/>
      <c r="V27" s="751"/>
      <c r="W27" s="751"/>
      <c r="X27" s="752"/>
      <c r="Y27" s="752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35" t="s">
        <v>496</v>
      </c>
      <c r="P28" s="719" t="s">
        <v>473</v>
      </c>
      <c r="Q28" s="11"/>
      <c r="R28" s="12"/>
      <c r="S28" s="720" t="s">
        <v>494</v>
      </c>
      <c r="T28" s="11"/>
      <c r="U28" s="12"/>
      <c r="V28" s="721" t="s">
        <v>495</v>
      </c>
      <c r="W28" s="12"/>
      <c r="X28" s="722" t="s">
        <v>497</v>
      </c>
      <c r="Y28" s="12"/>
    </row>
    <row r="29" ht="15.75" customHeight="1">
      <c r="A29" s="3"/>
      <c r="B29" s="49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2" t="s">
        <v>104</v>
      </c>
      <c r="P29" s="749" t="s">
        <v>10</v>
      </c>
      <c r="Q29" s="749" t="s">
        <v>467</v>
      </c>
      <c r="R29" s="749" t="s">
        <v>11</v>
      </c>
      <c r="S29" s="750" t="s">
        <v>11</v>
      </c>
      <c r="T29" s="750" t="s">
        <v>467</v>
      </c>
      <c r="U29" s="750" t="s">
        <v>11</v>
      </c>
      <c r="V29" s="751" t="s">
        <v>10</v>
      </c>
      <c r="W29" s="751" t="s">
        <v>11</v>
      </c>
      <c r="X29" s="752" t="s">
        <v>10</v>
      </c>
      <c r="Y29" s="752" t="s">
        <v>11</v>
      </c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2">
        <v>100.0</v>
      </c>
      <c r="P30" s="730">
        <v>211.2</v>
      </c>
      <c r="Q30" s="730">
        <v>254.39999999999998</v>
      </c>
      <c r="R30" s="730">
        <v>273.59999999999997</v>
      </c>
      <c r="S30" s="731">
        <v>242.39999999999998</v>
      </c>
      <c r="T30" s="731">
        <v>292.8</v>
      </c>
      <c r="U30" s="731">
        <v>316.8</v>
      </c>
      <c r="V30" s="732">
        <v>278.4</v>
      </c>
      <c r="W30" s="732">
        <v>438.0</v>
      </c>
      <c r="X30" s="733">
        <v>306.0</v>
      </c>
      <c r="Y30" s="733">
        <v>480.0</v>
      </c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2">
        <v>200.0</v>
      </c>
      <c r="P31" s="730">
        <v>264.0</v>
      </c>
      <c r="Q31" s="730">
        <v>318.0</v>
      </c>
      <c r="R31" s="730">
        <v>343.2</v>
      </c>
      <c r="S31" s="731">
        <v>303.59999999999997</v>
      </c>
      <c r="T31" s="731">
        <v>366.0</v>
      </c>
      <c r="U31" s="731">
        <v>396.0</v>
      </c>
      <c r="V31" s="732">
        <v>348.0</v>
      </c>
      <c r="W31" s="732">
        <v>547.1999999999999</v>
      </c>
      <c r="X31" s="733">
        <v>384.0</v>
      </c>
      <c r="Y31" s="733">
        <v>600.0</v>
      </c>
    </row>
    <row r="32" ht="15.75" customHeight="1">
      <c r="A32" s="3"/>
      <c r="B32" s="514"/>
      <c r="C32" s="515"/>
      <c r="D32" s="515"/>
      <c r="E32" s="515"/>
      <c r="F32" s="515"/>
      <c r="G32" s="515"/>
      <c r="H32" s="515"/>
      <c r="I32" s="515"/>
      <c r="J32" s="476"/>
      <c r="K32" s="3"/>
      <c r="L32" s="3"/>
      <c r="M32" s="3"/>
      <c r="N32" s="3"/>
      <c r="O32" s="32">
        <v>300.0</v>
      </c>
      <c r="P32" s="730">
        <v>369.59999999999997</v>
      </c>
      <c r="Q32" s="730">
        <v>444.0</v>
      </c>
      <c r="R32" s="730">
        <v>480.0</v>
      </c>
      <c r="S32" s="731">
        <v>424.8</v>
      </c>
      <c r="T32" s="731">
        <v>512.4</v>
      </c>
      <c r="U32" s="731">
        <v>554.4</v>
      </c>
      <c r="V32" s="732">
        <v>487.2</v>
      </c>
      <c r="W32" s="732">
        <v>768.0</v>
      </c>
      <c r="X32" s="733">
        <v>504.0</v>
      </c>
      <c r="Y32" s="733">
        <v>844.8</v>
      </c>
    </row>
    <row r="33" ht="15.75" customHeight="1">
      <c r="A33" s="3"/>
      <c r="B33" s="494"/>
      <c r="C33" s="496"/>
      <c r="D33" s="476"/>
      <c r="E33" s="496"/>
      <c r="F33" s="476"/>
      <c r="G33" s="496"/>
      <c r="H33" s="476"/>
      <c r="I33" s="496"/>
      <c r="J33" s="476"/>
      <c r="K33" s="496"/>
      <c r="L33" s="476"/>
      <c r="M33" s="3"/>
      <c r="N33" s="3"/>
      <c r="O33" s="32">
        <v>500.0</v>
      </c>
      <c r="P33" s="730">
        <v>528.0</v>
      </c>
      <c r="Q33" s="730">
        <v>636.0</v>
      </c>
      <c r="R33" s="730">
        <v>686.4</v>
      </c>
      <c r="S33" s="731">
        <v>607.1999999999999</v>
      </c>
      <c r="T33" s="731">
        <v>732.0</v>
      </c>
      <c r="U33" s="731">
        <v>792.0</v>
      </c>
      <c r="V33" s="732">
        <v>696.0</v>
      </c>
      <c r="W33" s="732">
        <v>1095.6</v>
      </c>
      <c r="X33" s="733">
        <v>765.6</v>
      </c>
      <c r="Y33" s="733">
        <v>1200.0</v>
      </c>
    </row>
    <row r="34" ht="15.75" customHeight="1">
      <c r="A34" s="3"/>
      <c r="B34" s="494"/>
      <c r="C34" s="494"/>
      <c r="D34" s="502"/>
      <c r="E34" s="502"/>
      <c r="F34" s="502"/>
      <c r="G34" s="494"/>
      <c r="H34" s="502"/>
      <c r="I34" s="502"/>
      <c r="J34" s="502"/>
      <c r="K34" s="502"/>
      <c r="L34" s="502"/>
      <c r="M34" s="3"/>
      <c r="N34" s="3"/>
      <c r="O34" s="32">
        <v>1000.0</v>
      </c>
      <c r="P34" s="730">
        <v>888.0</v>
      </c>
      <c r="Q34" s="730">
        <v>1056.0</v>
      </c>
      <c r="R34" s="730">
        <v>1141.2</v>
      </c>
      <c r="S34" s="731">
        <v>1020.0</v>
      </c>
      <c r="T34" s="731">
        <v>1214.3999999999999</v>
      </c>
      <c r="U34" s="731">
        <v>1308.0</v>
      </c>
      <c r="V34" s="732">
        <v>1167.6</v>
      </c>
      <c r="W34" s="732">
        <v>1538.3999999999999</v>
      </c>
      <c r="X34" s="733">
        <v>1284.0</v>
      </c>
      <c r="Y34" s="733">
        <v>1692.0</v>
      </c>
    </row>
    <row r="35" ht="15.75" customHeight="1">
      <c r="A35" s="3"/>
      <c r="B35" s="494"/>
      <c r="C35" s="511"/>
      <c r="D35" s="511"/>
      <c r="E35" s="511"/>
      <c r="F35" s="511"/>
      <c r="G35" s="511"/>
      <c r="H35" s="511"/>
      <c r="I35" s="511"/>
      <c r="J35" s="511"/>
      <c r="K35" s="511"/>
      <c r="L35" s="511"/>
      <c r="M35" s="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3"/>
    </row>
    <row r="36" ht="15.75" customHeight="1">
      <c r="A36" s="3"/>
      <c r="B36" s="494"/>
      <c r="C36" s="511"/>
      <c r="D36" s="511"/>
      <c r="E36" s="511"/>
      <c r="F36" s="511"/>
      <c r="G36" s="511"/>
      <c r="H36" s="511"/>
      <c r="I36" s="511"/>
      <c r="J36" s="511"/>
      <c r="K36" s="511"/>
      <c r="L36" s="511"/>
      <c r="M36" s="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3"/>
    </row>
    <row r="37" ht="15.75" customHeight="1">
      <c r="A37" s="3"/>
      <c r="B37" s="494"/>
      <c r="C37" s="511"/>
      <c r="D37" s="511"/>
      <c r="E37" s="511"/>
      <c r="F37" s="511"/>
      <c r="G37" s="511"/>
      <c r="H37" s="511"/>
      <c r="I37" s="511"/>
      <c r="J37" s="511"/>
      <c r="K37" s="511"/>
      <c r="L37" s="511"/>
      <c r="M37" s="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3"/>
    </row>
    <row r="38" ht="15.75" customHeight="1">
      <c r="A38" s="3"/>
      <c r="B38" s="494"/>
      <c r="C38" s="511"/>
      <c r="D38" s="511"/>
      <c r="E38" s="511"/>
      <c r="F38" s="511"/>
      <c r="G38" s="511"/>
      <c r="H38" s="511"/>
      <c r="I38" s="511"/>
      <c r="J38" s="511"/>
      <c r="K38" s="511"/>
      <c r="L38" s="511"/>
      <c r="M38" s="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3"/>
    </row>
    <row r="39" ht="15.75" customHeight="1">
      <c r="A39" s="3"/>
      <c r="B39" s="494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3"/>
    </row>
    <row r="40" ht="15.75" customHeight="1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</row>
    <row r="41" ht="15.75" customHeight="1">
      <c r="A41" s="3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494" t="s">
        <v>509</v>
      </c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 t="s">
        <v>761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 t="s">
        <v>487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509</v>
      </c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765</v>
      </c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723">
        <v>1.2</v>
      </c>
      <c r="C47" s="724" t="s">
        <v>763</v>
      </c>
      <c r="D47" s="491"/>
      <c r="E47" s="491"/>
      <c r="F47" s="491"/>
      <c r="G47" s="491"/>
      <c r="H47" s="491"/>
      <c r="I47" s="491"/>
      <c r="J47" s="491"/>
      <c r="K47" s="491"/>
      <c r="L47" s="492"/>
      <c r="M47" s="3"/>
      <c r="N47" s="3"/>
      <c r="O47" s="3" t="s">
        <v>518</v>
      </c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281" t="s">
        <v>496</v>
      </c>
      <c r="C48" s="496" t="s">
        <v>473</v>
      </c>
      <c r="D48" s="515"/>
      <c r="E48" s="497"/>
      <c r="F48" s="496" t="s">
        <v>494</v>
      </c>
      <c r="G48" s="515"/>
      <c r="H48" s="476"/>
      <c r="I48" s="729" t="s">
        <v>495</v>
      </c>
      <c r="J48" s="476"/>
      <c r="K48" s="496" t="s">
        <v>497</v>
      </c>
      <c r="L48" s="476"/>
      <c r="M48" s="3"/>
      <c r="N48" s="3"/>
      <c r="O48" s="218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281" t="s">
        <v>104</v>
      </c>
      <c r="C49" s="734" t="s">
        <v>10</v>
      </c>
      <c r="D49" s="735" t="s">
        <v>467</v>
      </c>
      <c r="E49" s="736" t="s">
        <v>11</v>
      </c>
      <c r="F49" s="737" t="s">
        <v>11</v>
      </c>
      <c r="G49" s="735" t="s">
        <v>467</v>
      </c>
      <c r="H49" s="736" t="s">
        <v>11</v>
      </c>
      <c r="I49" s="738" t="s">
        <v>10</v>
      </c>
      <c r="J49" s="502" t="s">
        <v>11</v>
      </c>
      <c r="K49" s="502" t="s">
        <v>10</v>
      </c>
      <c r="L49" s="502" t="s">
        <v>11</v>
      </c>
      <c r="M49" s="3"/>
      <c r="N49" s="3"/>
      <c r="O49" s="32">
        <v>1.0</v>
      </c>
      <c r="P49" s="753" t="s">
        <v>520</v>
      </c>
      <c r="Q49" s="749"/>
      <c r="R49" s="749"/>
      <c r="S49" s="750"/>
      <c r="T49" s="750"/>
      <c r="U49" s="750"/>
      <c r="V49" s="751"/>
      <c r="W49" s="751"/>
      <c r="X49" s="752"/>
      <c r="Y49" s="752"/>
    </row>
    <row r="50" ht="15.75" customHeight="1">
      <c r="A50" s="3"/>
      <c r="B50" s="281">
        <v>100.0</v>
      </c>
      <c r="C50" s="739">
        <f t="shared" ref="C50:L50" si="6">C62*$BH$47</f>
        <v>0</v>
      </c>
      <c r="D50" s="739">
        <f t="shared" si="6"/>
        <v>0</v>
      </c>
      <c r="E50" s="739">
        <f t="shared" si="6"/>
        <v>0</v>
      </c>
      <c r="F50" s="739">
        <f t="shared" si="6"/>
        <v>0</v>
      </c>
      <c r="G50" s="739">
        <f t="shared" si="6"/>
        <v>0</v>
      </c>
      <c r="H50" s="739">
        <f t="shared" si="6"/>
        <v>0</v>
      </c>
      <c r="I50" s="739">
        <f t="shared" si="6"/>
        <v>0</v>
      </c>
      <c r="J50" s="739">
        <f t="shared" si="6"/>
        <v>0</v>
      </c>
      <c r="K50" s="739">
        <f t="shared" si="6"/>
        <v>0</v>
      </c>
      <c r="L50" s="739">
        <f t="shared" si="6"/>
        <v>0</v>
      </c>
      <c r="M50" s="3"/>
      <c r="N50" s="3"/>
      <c r="O50" s="135" t="s">
        <v>766</v>
      </c>
      <c r="P50" s="719" t="s">
        <v>473</v>
      </c>
      <c r="Q50" s="11"/>
      <c r="R50" s="12"/>
      <c r="S50" s="720" t="s">
        <v>494</v>
      </c>
      <c r="T50" s="11"/>
      <c r="U50" s="12"/>
      <c r="V50" s="721" t="s">
        <v>495</v>
      </c>
      <c r="W50" s="12"/>
      <c r="X50" s="722" t="s">
        <v>497</v>
      </c>
      <c r="Y50" s="12"/>
    </row>
    <row r="51" ht="15.75" customHeight="1">
      <c r="A51" s="3"/>
      <c r="B51" s="281">
        <v>200.0</v>
      </c>
      <c r="C51" s="739">
        <f t="shared" ref="C51:L51" si="7">C63*$BH$47</f>
        <v>0</v>
      </c>
      <c r="D51" s="739">
        <f t="shared" si="7"/>
        <v>0</v>
      </c>
      <c r="E51" s="739">
        <f t="shared" si="7"/>
        <v>0</v>
      </c>
      <c r="F51" s="739">
        <f t="shared" si="7"/>
        <v>0</v>
      </c>
      <c r="G51" s="739">
        <f t="shared" si="7"/>
        <v>0</v>
      </c>
      <c r="H51" s="739">
        <f t="shared" si="7"/>
        <v>0</v>
      </c>
      <c r="I51" s="739">
        <f t="shared" si="7"/>
        <v>0</v>
      </c>
      <c r="J51" s="739">
        <f t="shared" si="7"/>
        <v>0</v>
      </c>
      <c r="K51" s="739">
        <f t="shared" si="7"/>
        <v>0</v>
      </c>
      <c r="L51" s="739">
        <f t="shared" si="7"/>
        <v>0</v>
      </c>
      <c r="M51" s="3"/>
      <c r="N51" s="3"/>
      <c r="O51" s="3" t="s">
        <v>104</v>
      </c>
      <c r="P51" s="754" t="s">
        <v>10</v>
      </c>
      <c r="Q51" s="754" t="s">
        <v>467</v>
      </c>
      <c r="R51" s="754" t="s">
        <v>11</v>
      </c>
      <c r="S51" s="755" t="s">
        <v>11</v>
      </c>
      <c r="T51" s="755" t="s">
        <v>467</v>
      </c>
      <c r="U51" s="755" t="s">
        <v>11</v>
      </c>
      <c r="V51" s="334" t="s">
        <v>10</v>
      </c>
      <c r="W51" s="334" t="s">
        <v>11</v>
      </c>
      <c r="X51" s="745" t="s">
        <v>10</v>
      </c>
      <c r="Y51" s="745" t="s">
        <v>11</v>
      </c>
    </row>
    <row r="52" ht="15.75" customHeight="1">
      <c r="A52" s="3"/>
      <c r="B52" s="281">
        <v>300.0</v>
      </c>
      <c r="C52" s="739">
        <f t="shared" ref="C52:L52" si="8">C64*$BH$47</f>
        <v>0</v>
      </c>
      <c r="D52" s="739">
        <f t="shared" si="8"/>
        <v>0</v>
      </c>
      <c r="E52" s="739">
        <f t="shared" si="8"/>
        <v>0</v>
      </c>
      <c r="F52" s="739">
        <f t="shared" si="8"/>
        <v>0</v>
      </c>
      <c r="G52" s="739">
        <f t="shared" si="8"/>
        <v>0</v>
      </c>
      <c r="H52" s="739">
        <f t="shared" si="8"/>
        <v>0</v>
      </c>
      <c r="I52" s="739">
        <f t="shared" si="8"/>
        <v>0</v>
      </c>
      <c r="J52" s="739">
        <f t="shared" si="8"/>
        <v>0</v>
      </c>
      <c r="K52" s="739">
        <f t="shared" si="8"/>
        <v>0</v>
      </c>
      <c r="L52" s="739">
        <f t="shared" si="8"/>
        <v>0</v>
      </c>
      <c r="M52" s="3"/>
      <c r="N52" s="3"/>
      <c r="O52" s="32">
        <v>100.0</v>
      </c>
      <c r="P52" s="756">
        <v>447.3</v>
      </c>
      <c r="Q52" s="756">
        <v>526.5</v>
      </c>
      <c r="R52" s="756">
        <v>549.0</v>
      </c>
      <c r="S52" s="757">
        <v>492.3</v>
      </c>
      <c r="T52" s="757">
        <v>579.6</v>
      </c>
      <c r="U52" s="757">
        <v>604.0</v>
      </c>
      <c r="V52" s="758">
        <v>541.8000000000001</v>
      </c>
      <c r="W52" s="758">
        <v>814.5</v>
      </c>
      <c r="X52" s="759">
        <v>595.8000000000001</v>
      </c>
      <c r="Y52" s="759">
        <v>895.5</v>
      </c>
    </row>
    <row r="53" ht="15.75" customHeight="1">
      <c r="A53" s="3"/>
      <c r="B53" s="281">
        <v>500.0</v>
      </c>
      <c r="C53" s="739">
        <f t="shared" ref="C53:L53" si="9">C65*$BH$47</f>
        <v>0</v>
      </c>
      <c r="D53" s="739">
        <f t="shared" si="9"/>
        <v>0</v>
      </c>
      <c r="E53" s="739">
        <f t="shared" si="9"/>
        <v>0</v>
      </c>
      <c r="F53" s="739">
        <f t="shared" si="9"/>
        <v>0</v>
      </c>
      <c r="G53" s="739">
        <f t="shared" si="9"/>
        <v>0</v>
      </c>
      <c r="H53" s="739">
        <f t="shared" si="9"/>
        <v>0</v>
      </c>
      <c r="I53" s="739">
        <f t="shared" si="9"/>
        <v>0</v>
      </c>
      <c r="J53" s="739">
        <f t="shared" si="9"/>
        <v>0</v>
      </c>
      <c r="K53" s="739">
        <f t="shared" si="9"/>
        <v>0</v>
      </c>
      <c r="L53" s="739">
        <f t="shared" si="9"/>
        <v>0</v>
      </c>
      <c r="M53" s="3"/>
      <c r="N53" s="3"/>
      <c r="O53" s="32">
        <v>200.0</v>
      </c>
      <c r="P53" s="756">
        <v>558.9</v>
      </c>
      <c r="Q53" s="756">
        <v>658.8000000000001</v>
      </c>
      <c r="R53" s="756">
        <v>684.0</v>
      </c>
      <c r="S53" s="757">
        <v>612.0</v>
      </c>
      <c r="T53" s="757">
        <v>724.5</v>
      </c>
      <c r="U53" s="757">
        <v>752.0</v>
      </c>
      <c r="V53" s="758">
        <v>676.8000000000001</v>
      </c>
      <c r="W53" s="758">
        <v>1017.0</v>
      </c>
      <c r="X53" s="759">
        <v>744.3000000000001</v>
      </c>
      <c r="Y53" s="759">
        <v>1118.7</v>
      </c>
    </row>
    <row r="54" ht="15.75" customHeight="1">
      <c r="A54" s="3"/>
      <c r="B54" s="281">
        <v>1000.0</v>
      </c>
      <c r="C54" s="739">
        <f t="shared" ref="C54:L54" si="10">C66*$BH$47</f>
        <v>0</v>
      </c>
      <c r="D54" s="739">
        <f t="shared" si="10"/>
        <v>0</v>
      </c>
      <c r="E54" s="739">
        <f t="shared" si="10"/>
        <v>0</v>
      </c>
      <c r="F54" s="739">
        <f t="shared" si="10"/>
        <v>0</v>
      </c>
      <c r="G54" s="739">
        <f t="shared" si="10"/>
        <v>0</v>
      </c>
      <c r="H54" s="739">
        <f t="shared" si="10"/>
        <v>0</v>
      </c>
      <c r="I54" s="739">
        <f t="shared" si="10"/>
        <v>0</v>
      </c>
      <c r="J54" s="739">
        <f t="shared" si="10"/>
        <v>0</v>
      </c>
      <c r="K54" s="739">
        <f t="shared" si="10"/>
        <v>0</v>
      </c>
      <c r="L54" s="739">
        <f t="shared" si="10"/>
        <v>0</v>
      </c>
      <c r="M54" s="3"/>
      <c r="N54" s="3"/>
      <c r="O54" s="32">
        <v>300.0</v>
      </c>
      <c r="P54" s="756">
        <v>783.0</v>
      </c>
      <c r="Q54" s="756">
        <v>921.6</v>
      </c>
      <c r="R54" s="756">
        <v>959.4</v>
      </c>
      <c r="S54" s="757">
        <v>855.0</v>
      </c>
      <c r="T54" s="757">
        <v>1014.3000000000001</v>
      </c>
      <c r="U54" s="757">
        <v>1054.0</v>
      </c>
      <c r="V54" s="758">
        <v>948.6</v>
      </c>
      <c r="W54" s="758">
        <v>1425.6000000000001</v>
      </c>
      <c r="X54" s="759">
        <v>1044.0</v>
      </c>
      <c r="Y54" s="759">
        <v>1567.8</v>
      </c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2">
        <v>500.0</v>
      </c>
      <c r="P55" s="756">
        <v>1118.7</v>
      </c>
      <c r="Q55" s="756">
        <v>1317.6000000000001</v>
      </c>
      <c r="R55" s="756">
        <v>1370.7</v>
      </c>
      <c r="S55" s="757">
        <v>1231.2</v>
      </c>
      <c r="T55" s="757">
        <v>1449.0</v>
      </c>
      <c r="U55" s="757">
        <v>1508.0</v>
      </c>
      <c r="V55" s="758">
        <v>1354.5</v>
      </c>
      <c r="W55" s="758">
        <v>2036.7</v>
      </c>
      <c r="X55" s="759">
        <v>1489.5</v>
      </c>
      <c r="Y55" s="759">
        <v>2241.0</v>
      </c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2">
        <v>1000.0</v>
      </c>
      <c r="P56" s="756">
        <v>1866.6000000000001</v>
      </c>
      <c r="Q56" s="756">
        <v>2197.8</v>
      </c>
      <c r="R56" s="756">
        <v>2286.9</v>
      </c>
      <c r="S56" s="757">
        <v>2052.9</v>
      </c>
      <c r="T56" s="757">
        <v>2417.4</v>
      </c>
      <c r="U56" s="757">
        <v>2515.0</v>
      </c>
      <c r="V56" s="758">
        <v>2259.0</v>
      </c>
      <c r="W56" s="758">
        <v>2851.2000000000003</v>
      </c>
      <c r="X56" s="759">
        <v>2484.9</v>
      </c>
      <c r="Y56" s="759">
        <v>3135.6</v>
      </c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2"/>
      <c r="P57" s="749"/>
      <c r="Q57" s="749"/>
      <c r="R57" s="749"/>
      <c r="S57" s="750"/>
      <c r="T57" s="750"/>
      <c r="U57" s="750"/>
      <c r="V57" s="751"/>
      <c r="W57" s="751"/>
      <c r="X57" s="752"/>
      <c r="Y57" s="752"/>
    </row>
    <row r="58" ht="15.75" customHeight="1">
      <c r="A58" s="3"/>
      <c r="B58" s="3" t="s">
        <v>765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2"/>
      <c r="P58" s="749"/>
      <c r="Q58" s="749"/>
      <c r="R58" s="749"/>
      <c r="S58" s="750"/>
      <c r="T58" s="750"/>
      <c r="U58" s="750"/>
      <c r="V58" s="751"/>
      <c r="W58" s="751"/>
      <c r="X58" s="752"/>
      <c r="Y58" s="752"/>
    </row>
    <row r="59" ht="15.75" customHeight="1">
      <c r="A59" s="3"/>
      <c r="B59" s="565" t="s">
        <v>515</v>
      </c>
      <c r="C59" s="491"/>
      <c r="D59" s="491"/>
      <c r="E59" s="491"/>
      <c r="F59" s="491"/>
      <c r="G59" s="491"/>
      <c r="H59" s="491"/>
      <c r="I59" s="491"/>
      <c r="J59" s="491"/>
      <c r="K59" s="491"/>
      <c r="L59" s="492"/>
      <c r="M59" s="3"/>
      <c r="N59" s="3"/>
      <c r="O59" s="32"/>
      <c r="P59" s="749"/>
      <c r="Q59" s="749"/>
      <c r="R59" s="749"/>
      <c r="S59" s="750"/>
      <c r="T59" s="750"/>
      <c r="U59" s="750"/>
      <c r="V59" s="751"/>
      <c r="W59" s="751"/>
      <c r="X59" s="752"/>
      <c r="Y59" s="752"/>
    </row>
    <row r="60" ht="15.75" customHeight="1">
      <c r="A60" s="3"/>
      <c r="B60" s="281" t="s">
        <v>496</v>
      </c>
      <c r="C60" s="496" t="s">
        <v>473</v>
      </c>
      <c r="D60" s="515"/>
      <c r="E60" s="497"/>
      <c r="F60" s="496" t="s">
        <v>494</v>
      </c>
      <c r="G60" s="515"/>
      <c r="H60" s="476"/>
      <c r="I60" s="729" t="s">
        <v>495</v>
      </c>
      <c r="J60" s="476"/>
      <c r="K60" s="496" t="s">
        <v>497</v>
      </c>
      <c r="L60" s="476"/>
      <c r="M60" s="3"/>
      <c r="N60" s="123"/>
      <c r="O60" s="3" t="s">
        <v>761</v>
      </c>
      <c r="P60" s="756"/>
      <c r="Q60" s="756"/>
      <c r="R60" s="756"/>
      <c r="S60" s="757"/>
      <c r="T60" s="757"/>
      <c r="U60" s="757"/>
      <c r="V60" s="758"/>
      <c r="W60" s="758"/>
      <c r="X60" s="759"/>
      <c r="Y60" s="752"/>
    </row>
    <row r="61" ht="15.75" customHeight="1">
      <c r="A61" s="3"/>
      <c r="B61" s="281" t="s">
        <v>104</v>
      </c>
      <c r="C61" s="734" t="s">
        <v>10</v>
      </c>
      <c r="D61" s="735" t="s">
        <v>467</v>
      </c>
      <c r="E61" s="736" t="s">
        <v>11</v>
      </c>
      <c r="F61" s="737" t="s">
        <v>11</v>
      </c>
      <c r="G61" s="735" t="s">
        <v>467</v>
      </c>
      <c r="H61" s="736" t="s">
        <v>11</v>
      </c>
      <c r="I61" s="738" t="s">
        <v>10</v>
      </c>
      <c r="J61" s="502" t="s">
        <v>11</v>
      </c>
      <c r="K61" s="502" t="s">
        <v>10</v>
      </c>
      <c r="L61" s="502" t="s">
        <v>11</v>
      </c>
      <c r="M61" s="3"/>
      <c r="N61" s="123"/>
      <c r="O61" s="32">
        <v>1.1</v>
      </c>
      <c r="P61" s="753" t="s">
        <v>520</v>
      </c>
      <c r="Q61" s="749"/>
      <c r="R61" s="749"/>
      <c r="S61" s="750"/>
      <c r="T61" s="750"/>
      <c r="U61" s="750"/>
      <c r="V61" s="751"/>
      <c r="W61" s="751"/>
      <c r="X61" s="752"/>
      <c r="Y61" s="752"/>
    </row>
    <row r="62" ht="15.75" customHeight="1">
      <c r="A62" s="3">
        <v>40.0</v>
      </c>
      <c r="B62" s="281">
        <v>100.0</v>
      </c>
      <c r="C62" s="739">
        <v>497.0</v>
      </c>
      <c r="D62" s="511">
        <v>585.0</v>
      </c>
      <c r="E62" s="740">
        <v>610.0</v>
      </c>
      <c r="F62" s="739">
        <v>547.0</v>
      </c>
      <c r="G62" s="511">
        <v>644.0</v>
      </c>
      <c r="H62" s="740">
        <v>582.0</v>
      </c>
      <c r="I62" s="741">
        <v>602.0</v>
      </c>
      <c r="J62" s="511">
        <v>905.0</v>
      </c>
      <c r="K62" s="511">
        <v>662.0</v>
      </c>
      <c r="L62" s="511">
        <v>995.0</v>
      </c>
      <c r="M62" s="3"/>
      <c r="N62" s="123"/>
      <c r="O62" s="135" t="s">
        <v>766</v>
      </c>
      <c r="P62" s="719" t="s">
        <v>473</v>
      </c>
      <c r="Q62" s="11"/>
      <c r="R62" s="12"/>
      <c r="S62" s="720" t="s">
        <v>494</v>
      </c>
      <c r="T62" s="11"/>
      <c r="U62" s="12"/>
      <c r="V62" s="721" t="s">
        <v>495</v>
      </c>
      <c r="W62" s="12"/>
      <c r="X62" s="722" t="s">
        <v>497</v>
      </c>
      <c r="Y62" s="12"/>
    </row>
    <row r="63" ht="15.75" customHeight="1">
      <c r="A63" s="3">
        <v>50.0</v>
      </c>
      <c r="B63" s="281">
        <v>200.0</v>
      </c>
      <c r="C63" s="739">
        <v>621.0</v>
      </c>
      <c r="D63" s="511">
        <v>732.0</v>
      </c>
      <c r="E63" s="740">
        <v>760.0</v>
      </c>
      <c r="F63" s="739">
        <v>680.0</v>
      </c>
      <c r="G63" s="511">
        <v>805.0</v>
      </c>
      <c r="H63" s="740">
        <v>728.0</v>
      </c>
      <c r="I63" s="741">
        <v>752.0</v>
      </c>
      <c r="J63" s="511">
        <v>1130.0</v>
      </c>
      <c r="K63" s="511">
        <v>827.0</v>
      </c>
      <c r="L63" s="511">
        <v>1243.0</v>
      </c>
      <c r="M63" s="3"/>
      <c r="N63" s="123"/>
      <c r="O63" s="124" t="s">
        <v>104</v>
      </c>
      <c r="P63" s="756" t="s">
        <v>10</v>
      </c>
      <c r="Q63" s="756" t="s">
        <v>467</v>
      </c>
      <c r="R63" s="756" t="s">
        <v>11</v>
      </c>
      <c r="S63" s="757" t="s">
        <v>11</v>
      </c>
      <c r="T63" s="757" t="s">
        <v>467</v>
      </c>
      <c r="U63" s="757" t="s">
        <v>11</v>
      </c>
      <c r="V63" s="758" t="s">
        <v>10</v>
      </c>
      <c r="W63" s="758" t="s">
        <v>11</v>
      </c>
      <c r="X63" s="759" t="s">
        <v>10</v>
      </c>
      <c r="Y63" s="752" t="s">
        <v>11</v>
      </c>
    </row>
    <row r="64" ht="15.75" customHeight="1">
      <c r="A64" s="3">
        <v>70.0</v>
      </c>
      <c r="B64" s="281">
        <v>300.0</v>
      </c>
      <c r="C64" s="739">
        <v>870.0</v>
      </c>
      <c r="D64" s="511">
        <v>1024.0</v>
      </c>
      <c r="E64" s="740">
        <v>1066.0</v>
      </c>
      <c r="F64" s="739">
        <v>950.0</v>
      </c>
      <c r="G64" s="511">
        <v>1127.0</v>
      </c>
      <c r="H64" s="740">
        <v>1020.0</v>
      </c>
      <c r="I64" s="741">
        <v>1054.0</v>
      </c>
      <c r="J64" s="511">
        <v>1584.0</v>
      </c>
      <c r="K64" s="511">
        <v>1160.0</v>
      </c>
      <c r="L64" s="511">
        <v>1742.0</v>
      </c>
      <c r="M64" s="3"/>
      <c r="N64" s="123"/>
      <c r="O64" s="124">
        <v>100.0</v>
      </c>
      <c r="P64" s="756">
        <v>497.0</v>
      </c>
      <c r="Q64" s="756">
        <v>585.0</v>
      </c>
      <c r="R64" s="756">
        <v>610.0</v>
      </c>
      <c r="S64" s="757">
        <v>547.0</v>
      </c>
      <c r="T64" s="757">
        <v>644.0</v>
      </c>
      <c r="U64" s="757">
        <v>671.0</v>
      </c>
      <c r="V64" s="758">
        <v>602.0</v>
      </c>
      <c r="W64" s="758">
        <v>905.0</v>
      </c>
      <c r="X64" s="759">
        <v>662.0</v>
      </c>
      <c r="Y64" s="752">
        <v>995.0</v>
      </c>
    </row>
    <row r="65" ht="15.75" customHeight="1">
      <c r="A65" s="3"/>
      <c r="B65" s="281">
        <v>500.0</v>
      </c>
      <c r="C65" s="739">
        <v>1243.0</v>
      </c>
      <c r="D65" s="511">
        <v>1464.0</v>
      </c>
      <c r="E65" s="740">
        <v>1523.0</v>
      </c>
      <c r="F65" s="739">
        <v>1368.0</v>
      </c>
      <c r="G65" s="511">
        <v>1610.0</v>
      </c>
      <c r="H65" s="740">
        <v>1456.0</v>
      </c>
      <c r="I65" s="741">
        <v>1505.0</v>
      </c>
      <c r="J65" s="511">
        <v>2263.0</v>
      </c>
      <c r="K65" s="511">
        <v>1655.0</v>
      </c>
      <c r="L65" s="511">
        <v>2490.0</v>
      </c>
      <c r="M65" s="3"/>
      <c r="N65" s="3"/>
      <c r="O65" s="32">
        <v>200.0</v>
      </c>
      <c r="P65" s="749">
        <v>621.0</v>
      </c>
      <c r="Q65" s="749">
        <v>732.0</v>
      </c>
      <c r="R65" s="749">
        <v>760.0</v>
      </c>
      <c r="S65" s="750">
        <v>680.0</v>
      </c>
      <c r="T65" s="750">
        <v>805.0</v>
      </c>
      <c r="U65" s="750">
        <v>836.0</v>
      </c>
      <c r="V65" s="751">
        <v>752.0</v>
      </c>
      <c r="W65" s="751">
        <v>1130.0</v>
      </c>
      <c r="X65" s="752">
        <v>827.0</v>
      </c>
      <c r="Y65" s="752">
        <v>1243.0</v>
      </c>
    </row>
    <row r="66" ht="15.75" customHeight="1">
      <c r="A66" s="3"/>
      <c r="B66" s="281">
        <v>1000.0</v>
      </c>
      <c r="C66" s="746">
        <v>2074.0</v>
      </c>
      <c r="D66" s="747">
        <v>2442.0</v>
      </c>
      <c r="E66" s="748">
        <v>2541.0</v>
      </c>
      <c r="F66" s="746">
        <v>2281.0</v>
      </c>
      <c r="G66" s="747">
        <v>2686.0</v>
      </c>
      <c r="H66" s="748">
        <v>2502.0</v>
      </c>
      <c r="I66" s="741">
        <v>2510.0</v>
      </c>
      <c r="J66" s="511">
        <v>3168.0</v>
      </c>
      <c r="K66" s="511">
        <v>2761.0</v>
      </c>
      <c r="L66" s="511">
        <v>3484.0</v>
      </c>
      <c r="M66" s="3"/>
      <c r="N66" s="3"/>
      <c r="O66" s="32">
        <v>300.0</v>
      </c>
      <c r="P66" s="749">
        <v>870.0</v>
      </c>
      <c r="Q66" s="749">
        <v>1024.0</v>
      </c>
      <c r="R66" s="749">
        <v>1066.0</v>
      </c>
      <c r="S66" s="750">
        <v>950.0</v>
      </c>
      <c r="T66" s="750">
        <v>1127.0</v>
      </c>
      <c r="U66" s="750">
        <v>1172.0</v>
      </c>
      <c r="V66" s="751">
        <v>1054.0</v>
      </c>
      <c r="W66" s="751">
        <v>1584.0</v>
      </c>
      <c r="X66" s="752">
        <v>1160.0</v>
      </c>
      <c r="Y66" s="752">
        <v>1742.0</v>
      </c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2">
        <v>500.0</v>
      </c>
      <c r="P67" s="749">
        <v>1243.0</v>
      </c>
      <c r="Q67" s="749">
        <v>1464.0</v>
      </c>
      <c r="R67" s="749">
        <v>1523.0</v>
      </c>
      <c r="S67" s="750">
        <v>1368.0</v>
      </c>
      <c r="T67" s="750">
        <v>1610.0</v>
      </c>
      <c r="U67" s="750">
        <v>1675.0</v>
      </c>
      <c r="V67" s="751">
        <v>1505.0</v>
      </c>
      <c r="W67" s="751">
        <v>2263.0</v>
      </c>
      <c r="X67" s="752">
        <v>1655.0</v>
      </c>
      <c r="Y67" s="752">
        <v>2490.0</v>
      </c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2">
        <v>1000.0</v>
      </c>
      <c r="P68" s="749">
        <v>2074.0</v>
      </c>
      <c r="Q68" s="749">
        <v>2442.0</v>
      </c>
      <c r="R68" s="749">
        <v>2541.0</v>
      </c>
      <c r="S68" s="750">
        <v>2281.0</v>
      </c>
      <c r="T68" s="750">
        <v>2686.0</v>
      </c>
      <c r="U68" s="750">
        <v>2795.0</v>
      </c>
      <c r="V68" s="751">
        <v>2510.0</v>
      </c>
      <c r="W68" s="751">
        <v>3168.0</v>
      </c>
      <c r="X68" s="752">
        <v>2761.0</v>
      </c>
      <c r="Y68" s="752">
        <v>3484.0</v>
      </c>
    </row>
    <row r="69" ht="15.75" customHeight="1">
      <c r="A69" s="3"/>
      <c r="B69" s="514"/>
      <c r="C69" s="515"/>
      <c r="D69" s="515"/>
      <c r="E69" s="515"/>
      <c r="F69" s="515"/>
      <c r="G69" s="515"/>
      <c r="H69" s="515"/>
      <c r="I69" s="515"/>
      <c r="J69" s="476"/>
      <c r="K69" s="3"/>
      <c r="L69" s="3"/>
      <c r="M69" s="3"/>
      <c r="N69" s="3"/>
      <c r="O69" s="3"/>
      <c r="P69" s="754"/>
      <c r="Q69" s="754"/>
      <c r="R69" s="754"/>
      <c r="S69" s="755"/>
      <c r="T69" s="755"/>
      <c r="U69" s="755"/>
      <c r="V69" s="334"/>
      <c r="W69" s="334"/>
      <c r="X69" s="745"/>
      <c r="Y69" s="745"/>
    </row>
    <row r="70" ht="15.75" customHeight="1">
      <c r="A70" s="3"/>
      <c r="B70" s="494"/>
      <c r="C70" s="496"/>
      <c r="D70" s="476"/>
      <c r="E70" s="496"/>
      <c r="F70" s="476"/>
      <c r="G70" s="496"/>
      <c r="H70" s="476"/>
      <c r="I70" s="496"/>
      <c r="J70" s="476"/>
      <c r="K70" s="496"/>
      <c r="L70" s="476"/>
      <c r="M70" s="3"/>
      <c r="N70" s="3"/>
      <c r="O70" s="32">
        <v>1.2</v>
      </c>
      <c r="P70" s="753" t="s">
        <v>520</v>
      </c>
      <c r="Q70" s="749"/>
      <c r="R70" s="749"/>
      <c r="S70" s="750"/>
      <c r="T70" s="750"/>
      <c r="U70" s="750"/>
      <c r="V70" s="751"/>
      <c r="W70" s="751"/>
      <c r="X70" s="752"/>
      <c r="Y70" s="752"/>
    </row>
    <row r="71" ht="15.75" customHeight="1">
      <c r="A71" s="3"/>
      <c r="B71" s="494"/>
      <c r="C71" s="494"/>
      <c r="D71" s="502"/>
      <c r="E71" s="502"/>
      <c r="F71" s="502"/>
      <c r="G71" s="494"/>
      <c r="H71" s="502"/>
      <c r="I71" s="502"/>
      <c r="J71" s="502"/>
      <c r="K71" s="502"/>
      <c r="L71" s="502"/>
      <c r="M71" s="3"/>
      <c r="N71" s="3"/>
      <c r="O71" s="135" t="s">
        <v>766</v>
      </c>
      <c r="P71" s="719" t="s">
        <v>473</v>
      </c>
      <c r="Q71" s="11"/>
      <c r="R71" s="12"/>
      <c r="S71" s="720" t="s">
        <v>494</v>
      </c>
      <c r="T71" s="11"/>
      <c r="U71" s="12"/>
      <c r="V71" s="721" t="s">
        <v>495</v>
      </c>
      <c r="W71" s="12"/>
      <c r="X71" s="722" t="s">
        <v>497</v>
      </c>
      <c r="Y71" s="12"/>
    </row>
    <row r="72" ht="15.75" customHeight="1">
      <c r="A72" s="3"/>
      <c r="B72" s="494"/>
      <c r="C72" s="511"/>
      <c r="D72" s="511"/>
      <c r="E72" s="511"/>
      <c r="F72" s="511"/>
      <c r="G72" s="511"/>
      <c r="H72" s="511"/>
      <c r="I72" s="511"/>
      <c r="J72" s="511"/>
      <c r="K72" s="511"/>
      <c r="L72" s="511"/>
      <c r="M72" s="3"/>
      <c r="N72" s="123"/>
      <c r="O72" s="124" t="s">
        <v>104</v>
      </c>
      <c r="P72" s="756" t="s">
        <v>10</v>
      </c>
      <c r="Q72" s="756" t="s">
        <v>467</v>
      </c>
      <c r="R72" s="756" t="s">
        <v>11</v>
      </c>
      <c r="S72" s="757" t="s">
        <v>11</v>
      </c>
      <c r="T72" s="757" t="s">
        <v>467</v>
      </c>
      <c r="U72" s="757" t="s">
        <v>11</v>
      </c>
      <c r="V72" s="758" t="s">
        <v>10</v>
      </c>
      <c r="W72" s="758" t="s">
        <v>11</v>
      </c>
      <c r="X72" s="759" t="s">
        <v>10</v>
      </c>
      <c r="Y72" s="752" t="s">
        <v>11</v>
      </c>
    </row>
    <row r="73" ht="15.75" customHeight="1">
      <c r="A73" s="3"/>
      <c r="B73" s="494"/>
      <c r="C73" s="511"/>
      <c r="D73" s="511"/>
      <c r="E73" s="511"/>
      <c r="F73" s="511"/>
      <c r="G73" s="511"/>
      <c r="H73" s="511"/>
      <c r="I73" s="511"/>
      <c r="J73" s="511"/>
      <c r="K73" s="511"/>
      <c r="L73" s="511"/>
      <c r="M73" s="3"/>
      <c r="N73" s="123"/>
      <c r="O73" s="123">
        <v>100.0</v>
      </c>
      <c r="P73" s="742">
        <v>596.4</v>
      </c>
      <c r="Q73" s="742">
        <v>702.0</v>
      </c>
      <c r="R73" s="742">
        <v>732.0</v>
      </c>
      <c r="S73" s="743">
        <v>656.4</v>
      </c>
      <c r="T73" s="743">
        <v>772.8</v>
      </c>
      <c r="U73" s="743">
        <v>805.0</v>
      </c>
      <c r="V73" s="744">
        <v>722.4</v>
      </c>
      <c r="W73" s="744">
        <v>1086.0</v>
      </c>
      <c r="X73" s="672">
        <v>794.4</v>
      </c>
      <c r="Y73" s="672">
        <v>1194.0</v>
      </c>
    </row>
    <row r="74" ht="15.75" customHeight="1">
      <c r="A74" s="3"/>
      <c r="B74" s="494"/>
      <c r="C74" s="511"/>
      <c r="D74" s="511"/>
      <c r="E74" s="511"/>
      <c r="F74" s="511"/>
      <c r="G74" s="511"/>
      <c r="H74" s="511"/>
      <c r="I74" s="511"/>
      <c r="J74" s="511"/>
      <c r="K74" s="511"/>
      <c r="L74" s="511"/>
      <c r="M74" s="3"/>
      <c r="N74" s="123"/>
      <c r="O74" s="123">
        <v>200.0</v>
      </c>
      <c r="P74" s="742">
        <v>745.1999999999999</v>
      </c>
      <c r="Q74" s="742">
        <v>878.4</v>
      </c>
      <c r="R74" s="742">
        <v>912.0</v>
      </c>
      <c r="S74" s="743">
        <v>816.0</v>
      </c>
      <c r="T74" s="743">
        <v>966.0</v>
      </c>
      <c r="U74" s="743">
        <v>1003.0</v>
      </c>
      <c r="V74" s="744">
        <v>902.4</v>
      </c>
      <c r="W74" s="744">
        <v>1356.0</v>
      </c>
      <c r="X74" s="672">
        <v>992.4</v>
      </c>
      <c r="Y74" s="672">
        <v>1491.6</v>
      </c>
    </row>
    <row r="75" ht="15.75" customHeight="1">
      <c r="A75" s="3"/>
      <c r="B75" s="494"/>
      <c r="C75" s="511"/>
      <c r="D75" s="511"/>
      <c r="E75" s="511"/>
      <c r="F75" s="511"/>
      <c r="G75" s="511"/>
      <c r="H75" s="511"/>
      <c r="I75" s="511"/>
      <c r="J75" s="511"/>
      <c r="K75" s="511"/>
      <c r="L75" s="511"/>
      <c r="M75" s="3"/>
      <c r="N75" s="123"/>
      <c r="O75" s="123">
        <v>300.0</v>
      </c>
      <c r="P75" s="742">
        <v>1044.0</v>
      </c>
      <c r="Q75" s="742">
        <v>1228.8</v>
      </c>
      <c r="R75" s="742">
        <v>1279.2</v>
      </c>
      <c r="S75" s="743">
        <v>1140.0</v>
      </c>
      <c r="T75" s="743">
        <v>1352.3999999999999</v>
      </c>
      <c r="U75" s="743">
        <v>1406.0</v>
      </c>
      <c r="V75" s="744">
        <v>1264.8</v>
      </c>
      <c r="W75" s="744">
        <v>1900.8</v>
      </c>
      <c r="X75" s="672">
        <v>1392.0</v>
      </c>
      <c r="Y75" s="672">
        <v>2090.4</v>
      </c>
    </row>
    <row r="76" ht="15.75" customHeight="1">
      <c r="A76" s="3"/>
      <c r="B76" s="494"/>
      <c r="C76" s="511"/>
      <c r="D76" s="511"/>
      <c r="E76" s="511"/>
      <c r="F76" s="511"/>
      <c r="G76" s="511"/>
      <c r="H76" s="511"/>
      <c r="I76" s="511"/>
      <c r="J76" s="511"/>
      <c r="K76" s="511"/>
      <c r="L76" s="511"/>
      <c r="M76" s="3"/>
      <c r="N76" s="123"/>
      <c r="O76" s="123">
        <v>500.0</v>
      </c>
      <c r="P76" s="742">
        <v>1491.6</v>
      </c>
      <c r="Q76" s="742">
        <v>1756.8</v>
      </c>
      <c r="R76" s="742">
        <v>1827.6</v>
      </c>
      <c r="S76" s="743">
        <v>1641.6</v>
      </c>
      <c r="T76" s="743">
        <v>1932.0</v>
      </c>
      <c r="U76" s="743">
        <v>2010.0</v>
      </c>
      <c r="V76" s="744">
        <v>1806.0</v>
      </c>
      <c r="W76" s="744">
        <v>2715.6</v>
      </c>
      <c r="X76" s="672">
        <v>1986.0</v>
      </c>
      <c r="Y76" s="672">
        <v>2988.0</v>
      </c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v>1000.0</v>
      </c>
      <c r="P77" s="742">
        <v>2488.7999999999997</v>
      </c>
      <c r="Q77" s="742">
        <v>2930.4</v>
      </c>
      <c r="R77" s="742">
        <v>3049.2</v>
      </c>
      <c r="S77" s="743">
        <v>2737.2</v>
      </c>
      <c r="T77" s="743">
        <v>3223.2</v>
      </c>
      <c r="U77" s="743">
        <v>3353.0</v>
      </c>
      <c r="V77" s="744">
        <v>3012.0</v>
      </c>
      <c r="W77" s="744">
        <v>3801.6</v>
      </c>
      <c r="X77" s="672">
        <v>3313.2</v>
      </c>
      <c r="Y77" s="672">
        <v>4180.8</v>
      </c>
    </row>
    <row r="78" ht="15.7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494" t="s">
        <v>524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2" t="s">
        <v>524</v>
      </c>
      <c r="N80" s="32"/>
      <c r="O80" s="32"/>
      <c r="P80" s="32"/>
      <c r="Q80" s="32"/>
      <c r="R80" s="32"/>
      <c r="S80" s="32"/>
      <c r="T80" s="32"/>
      <c r="U80" s="32"/>
      <c r="V80" s="3"/>
      <c r="W80" s="3"/>
      <c r="X80" s="3"/>
      <c r="Y80" s="3"/>
    </row>
    <row r="81" ht="15.75" customHeight="1">
      <c r="A81" s="3"/>
      <c r="B81" s="3" t="s">
        <v>526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2" t="s">
        <v>526</v>
      </c>
      <c r="N81" s="32"/>
      <c r="O81" s="32"/>
      <c r="P81" s="32"/>
      <c r="Q81" s="32"/>
      <c r="R81" s="32"/>
      <c r="S81" s="32"/>
      <c r="T81" s="32"/>
      <c r="U81" s="32"/>
      <c r="V81" s="3"/>
      <c r="W81" s="3"/>
      <c r="X81" s="3"/>
      <c r="Y81" s="3"/>
    </row>
    <row r="82" ht="15.75" customHeight="1">
      <c r="A82" s="3"/>
      <c r="B82" s="3" t="s">
        <v>527</v>
      </c>
      <c r="C82" s="3">
        <v>12.0</v>
      </c>
      <c r="D82" s="3"/>
      <c r="E82" s="3">
        <v>9.0</v>
      </c>
      <c r="F82" s="3"/>
      <c r="G82" s="3">
        <v>4.0</v>
      </c>
      <c r="H82" s="3"/>
      <c r="I82" s="3">
        <v>2.0</v>
      </c>
      <c r="J82" s="3"/>
      <c r="K82" s="3"/>
      <c r="L82" s="3"/>
      <c r="M82" s="32" t="s">
        <v>527</v>
      </c>
      <c r="N82" s="32">
        <v>12.0</v>
      </c>
      <c r="O82" s="32"/>
      <c r="P82" s="32">
        <v>9.0</v>
      </c>
      <c r="Q82" s="32"/>
      <c r="R82" s="32">
        <v>4.0</v>
      </c>
      <c r="S82" s="32"/>
      <c r="T82" s="32">
        <v>2.0</v>
      </c>
      <c r="U82" s="32"/>
      <c r="V82" s="3"/>
      <c r="W82" s="3"/>
      <c r="X82" s="3"/>
      <c r="Y82" s="3"/>
    </row>
    <row r="83" ht="15.75" customHeight="1">
      <c r="A83" s="3"/>
      <c r="B83" s="514" t="s">
        <v>529</v>
      </c>
      <c r="C83" s="515"/>
      <c r="D83" s="515"/>
      <c r="E83" s="515"/>
      <c r="F83" s="515"/>
      <c r="G83" s="515"/>
      <c r="H83" s="515"/>
      <c r="I83" s="515"/>
      <c r="J83" s="476"/>
      <c r="K83" s="3"/>
      <c r="L83" s="3"/>
      <c r="M83" s="32" t="s">
        <v>529</v>
      </c>
      <c r="N83" s="32"/>
      <c r="O83" s="32"/>
      <c r="P83" s="32"/>
      <c r="Q83" s="32"/>
      <c r="R83" s="32"/>
      <c r="S83" s="32"/>
      <c r="T83" s="32"/>
      <c r="U83" s="32"/>
      <c r="V83" s="3"/>
      <c r="W83" s="3"/>
      <c r="X83" s="3"/>
      <c r="Y83" s="3"/>
    </row>
    <row r="84" ht="15.75" customHeight="1">
      <c r="A84" s="3"/>
      <c r="B84" s="494" t="s">
        <v>524</v>
      </c>
      <c r="C84" s="496" t="s">
        <v>129</v>
      </c>
      <c r="D84" s="476"/>
      <c r="E84" s="496" t="s">
        <v>125</v>
      </c>
      <c r="F84" s="476"/>
      <c r="G84" s="496" t="s">
        <v>121</v>
      </c>
      <c r="H84" s="476"/>
      <c r="I84" s="496" t="s">
        <v>16</v>
      </c>
      <c r="J84" s="476"/>
      <c r="K84" s="3"/>
      <c r="L84" s="3"/>
      <c r="M84" s="32" t="s">
        <v>524</v>
      </c>
      <c r="N84" s="32" t="s">
        <v>129</v>
      </c>
      <c r="P84" s="32" t="s">
        <v>125</v>
      </c>
      <c r="R84" s="32" t="s">
        <v>121</v>
      </c>
      <c r="T84" s="32" t="s">
        <v>16</v>
      </c>
      <c r="V84" s="3"/>
      <c r="W84" s="3"/>
      <c r="X84" s="3"/>
      <c r="Y84" s="3"/>
    </row>
    <row r="85" ht="15.75" customHeight="1">
      <c r="A85" s="3"/>
      <c r="B85" s="494" t="s">
        <v>104</v>
      </c>
      <c r="C85" s="494" t="s">
        <v>10</v>
      </c>
      <c r="D85" s="502" t="s">
        <v>11</v>
      </c>
      <c r="E85" s="494" t="s">
        <v>10</v>
      </c>
      <c r="F85" s="502" t="s">
        <v>11</v>
      </c>
      <c r="G85" s="494" t="s">
        <v>10</v>
      </c>
      <c r="H85" s="502" t="s">
        <v>11</v>
      </c>
      <c r="I85" s="494" t="s">
        <v>10</v>
      </c>
      <c r="J85" s="502" t="s">
        <v>11</v>
      </c>
      <c r="K85" s="3"/>
      <c r="L85" s="3"/>
      <c r="M85" s="32" t="s">
        <v>104</v>
      </c>
      <c r="N85" s="32" t="s">
        <v>10</v>
      </c>
      <c r="O85" s="32" t="s">
        <v>11</v>
      </c>
      <c r="P85" s="32" t="s">
        <v>10</v>
      </c>
      <c r="Q85" s="32" t="s">
        <v>11</v>
      </c>
      <c r="R85" s="32" t="s">
        <v>10</v>
      </c>
      <c r="S85" s="32" t="s">
        <v>11</v>
      </c>
      <c r="T85" s="32" t="s">
        <v>10</v>
      </c>
      <c r="U85" s="32" t="s">
        <v>11</v>
      </c>
      <c r="V85" s="3"/>
      <c r="W85" s="3"/>
      <c r="X85" s="3"/>
      <c r="Y85" s="3"/>
    </row>
    <row r="86" ht="15.75" customHeight="1">
      <c r="A86" s="3">
        <v>9.0</v>
      </c>
      <c r="B86" s="494">
        <v>100.0</v>
      </c>
      <c r="C86" s="511" t="str">
        <f t="shared" ref="C86:J86" si="11">#REF!*1.1</f>
        <v>#REF!</v>
      </c>
      <c r="D86" s="511" t="str">
        <f t="shared" si="11"/>
        <v>#REF!</v>
      </c>
      <c r="E86" s="511" t="str">
        <f t="shared" si="11"/>
        <v>#REF!</v>
      </c>
      <c r="F86" s="511" t="str">
        <f t="shared" si="11"/>
        <v>#REF!</v>
      </c>
      <c r="G86" s="511" t="str">
        <f t="shared" si="11"/>
        <v>#REF!</v>
      </c>
      <c r="H86" s="511" t="str">
        <f t="shared" si="11"/>
        <v>#REF!</v>
      </c>
      <c r="I86" s="511" t="str">
        <f t="shared" si="11"/>
        <v>#REF!</v>
      </c>
      <c r="J86" s="511" t="str">
        <f t="shared" si="11"/>
        <v>#REF!</v>
      </c>
      <c r="K86" s="3"/>
      <c r="L86" s="3"/>
      <c r="M86" s="32">
        <v>100.0</v>
      </c>
      <c r="N86" s="124">
        <v>171.93000000000004</v>
      </c>
      <c r="O86" s="124">
        <v>244.20000000000002</v>
      </c>
      <c r="P86" s="124">
        <v>207.23999999999998</v>
      </c>
      <c r="Q86" s="124">
        <v>303.6</v>
      </c>
      <c r="R86" s="124">
        <v>360.25000000000006</v>
      </c>
      <c r="S86" s="124">
        <v>561.0</v>
      </c>
      <c r="T86" s="124">
        <v>654.5</v>
      </c>
      <c r="U86" s="124">
        <v>1056.0</v>
      </c>
      <c r="V86" s="3"/>
      <c r="W86" s="3"/>
      <c r="X86" s="3"/>
      <c r="Y86" s="3"/>
    </row>
    <row r="87" ht="15.75" customHeight="1">
      <c r="A87" s="3">
        <v>17.0</v>
      </c>
      <c r="B87" s="494">
        <v>200.0</v>
      </c>
      <c r="C87" s="511" t="str">
        <f t="shared" ref="C87:J87" si="12">#REF!*1.1</f>
        <v>#REF!</v>
      </c>
      <c r="D87" s="511" t="str">
        <f t="shared" si="12"/>
        <v>#REF!</v>
      </c>
      <c r="E87" s="511" t="str">
        <f t="shared" si="12"/>
        <v>#REF!</v>
      </c>
      <c r="F87" s="511" t="str">
        <f t="shared" si="12"/>
        <v>#REF!</v>
      </c>
      <c r="G87" s="511" t="str">
        <f t="shared" si="12"/>
        <v>#REF!</v>
      </c>
      <c r="H87" s="511" t="str">
        <f t="shared" si="12"/>
        <v>#REF!</v>
      </c>
      <c r="I87" s="511" t="str">
        <f t="shared" si="12"/>
        <v>#REF!</v>
      </c>
      <c r="J87" s="511" t="str">
        <f t="shared" si="12"/>
        <v>#REF!</v>
      </c>
      <c r="K87" s="3"/>
      <c r="L87" s="3"/>
      <c r="M87" s="32">
        <v>200.0</v>
      </c>
      <c r="N87" s="124">
        <v>266.09</v>
      </c>
      <c r="O87" s="124">
        <v>402.6</v>
      </c>
      <c r="P87" s="124">
        <v>336.71000000000004</v>
      </c>
      <c r="Q87" s="124">
        <v>521.4000000000001</v>
      </c>
      <c r="R87" s="124">
        <v>654.5</v>
      </c>
      <c r="S87" s="124">
        <v>1056.0</v>
      </c>
      <c r="T87" s="124">
        <v>1111.0</v>
      </c>
      <c r="U87" s="124">
        <v>1903.0000000000005</v>
      </c>
      <c r="V87" s="3"/>
      <c r="W87" s="3"/>
      <c r="X87" s="3"/>
      <c r="Y87" s="3"/>
    </row>
    <row r="88" ht="15.75" customHeight="1">
      <c r="A88" s="3">
        <v>26.0</v>
      </c>
      <c r="B88" s="494">
        <v>300.0</v>
      </c>
      <c r="C88" s="511" t="str">
        <f t="shared" ref="C88:J88" si="13">#REF!*1.1</f>
        <v>#REF!</v>
      </c>
      <c r="D88" s="511" t="str">
        <f t="shared" si="13"/>
        <v>#REF!</v>
      </c>
      <c r="E88" s="511" t="str">
        <f t="shared" si="13"/>
        <v>#REF!</v>
      </c>
      <c r="F88" s="511" t="str">
        <f t="shared" si="13"/>
        <v>#REF!</v>
      </c>
      <c r="G88" s="511" t="str">
        <f t="shared" si="13"/>
        <v>#REF!</v>
      </c>
      <c r="H88" s="511" t="str">
        <f t="shared" si="13"/>
        <v>#REF!</v>
      </c>
      <c r="I88" s="511" t="str">
        <f t="shared" si="13"/>
        <v>#REF!</v>
      </c>
      <c r="J88" s="511" t="str">
        <f t="shared" si="13"/>
        <v>#REF!</v>
      </c>
      <c r="K88" s="3"/>
      <c r="L88" s="3"/>
      <c r="M88" s="32">
        <v>300.0</v>
      </c>
      <c r="N88" s="124">
        <v>360.25000000000006</v>
      </c>
      <c r="O88" s="124">
        <v>561.0</v>
      </c>
      <c r="P88" s="124">
        <v>466.18</v>
      </c>
      <c r="Q88" s="124">
        <v>739.2</v>
      </c>
      <c r="R88" s="124">
        <v>849.7500000000001</v>
      </c>
      <c r="S88" s="124">
        <v>1443.7500000000005</v>
      </c>
      <c r="T88" s="124">
        <v>1424.4999999999998</v>
      </c>
      <c r="U88" s="124">
        <v>2414.5</v>
      </c>
      <c r="V88" s="3"/>
      <c r="W88" s="3"/>
      <c r="X88" s="3"/>
      <c r="Y88" s="3"/>
    </row>
    <row r="89" ht="15.75" customHeight="1">
      <c r="A89" s="3">
        <v>42.0</v>
      </c>
      <c r="B89" s="494">
        <v>500.0</v>
      </c>
      <c r="C89" s="511" t="str">
        <f t="shared" ref="C89:J89" si="14">#REF!*1.1</f>
        <v>#REF!</v>
      </c>
      <c r="D89" s="511" t="str">
        <f t="shared" si="14"/>
        <v>#REF!</v>
      </c>
      <c r="E89" s="511" t="str">
        <f t="shared" si="14"/>
        <v>#REF!</v>
      </c>
      <c r="F89" s="511" t="str">
        <f t="shared" si="14"/>
        <v>#REF!</v>
      </c>
      <c r="G89" s="511" t="str">
        <f t="shared" si="14"/>
        <v>#REF!</v>
      </c>
      <c r="H89" s="511" t="str">
        <f t="shared" si="14"/>
        <v>#REF!</v>
      </c>
      <c r="I89" s="511" t="str">
        <f t="shared" si="14"/>
        <v>#REF!</v>
      </c>
      <c r="J89" s="511" t="str">
        <f t="shared" si="14"/>
        <v>#REF!</v>
      </c>
      <c r="K89" s="3"/>
      <c r="L89" s="3"/>
      <c r="M89" s="32">
        <v>500.0</v>
      </c>
      <c r="N89" s="124">
        <v>560.34</v>
      </c>
      <c r="O89" s="124">
        <v>897.6</v>
      </c>
      <c r="P89" s="124">
        <v>651.2</v>
      </c>
      <c r="Q89" s="124">
        <v>1094.7200000000003</v>
      </c>
      <c r="R89" s="124">
        <v>1207.2499999999998</v>
      </c>
      <c r="S89" s="124">
        <v>2032.25</v>
      </c>
      <c r="T89" s="124">
        <v>2337.4999999999995</v>
      </c>
      <c r="U89" s="124">
        <v>3987.5</v>
      </c>
      <c r="V89" s="3"/>
      <c r="W89" s="3"/>
      <c r="X89" s="3"/>
      <c r="Y89" s="3"/>
    </row>
    <row r="90" ht="15.75" customHeight="1">
      <c r="A90" s="3">
        <v>84.0</v>
      </c>
      <c r="B90" s="494">
        <v>1000.0</v>
      </c>
      <c r="C90" s="511" t="str">
        <f t="shared" ref="C90:J90" si="15">#REF!*1.1</f>
        <v>#REF!</v>
      </c>
      <c r="D90" s="511" t="str">
        <f t="shared" si="15"/>
        <v>#REF!</v>
      </c>
      <c r="E90" s="511" t="str">
        <f t="shared" si="15"/>
        <v>#REF!</v>
      </c>
      <c r="F90" s="511" t="str">
        <f t="shared" si="15"/>
        <v>#REF!</v>
      </c>
      <c r="G90" s="511" t="str">
        <f t="shared" si="15"/>
        <v>#REF!</v>
      </c>
      <c r="H90" s="511" t="str">
        <f t="shared" si="15"/>
        <v>#REF!</v>
      </c>
      <c r="I90" s="511" t="str">
        <f t="shared" si="15"/>
        <v>#REF!</v>
      </c>
      <c r="J90" s="511" t="str">
        <f t="shared" si="15"/>
        <v>#REF!</v>
      </c>
      <c r="K90" s="3"/>
      <c r="L90" s="3"/>
      <c r="M90" s="32">
        <v>1000.0</v>
      </c>
      <c r="N90" s="124">
        <v>943.8000000000001</v>
      </c>
      <c r="O90" s="124">
        <v>1609.0800000000004</v>
      </c>
      <c r="P90" s="124">
        <v>1088.56</v>
      </c>
      <c r="Q90" s="124">
        <v>1827.76</v>
      </c>
      <c r="R90" s="124">
        <v>2348.4999999999995</v>
      </c>
      <c r="S90" s="124">
        <v>3998.5</v>
      </c>
      <c r="T90" s="124">
        <v>4619.999999999999</v>
      </c>
      <c r="U90" s="124">
        <v>7920.0</v>
      </c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2"/>
      <c r="N91" s="32"/>
      <c r="O91" s="32"/>
      <c r="P91" s="32"/>
      <c r="Q91" s="32"/>
      <c r="R91" s="32"/>
      <c r="S91" s="32"/>
      <c r="T91" s="32"/>
      <c r="U91" s="32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494" t="s">
        <v>524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504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 t="s">
        <v>532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 t="s">
        <v>104</v>
      </c>
      <c r="N95" s="3" t="s">
        <v>129</v>
      </c>
      <c r="O95" s="3"/>
      <c r="P95" s="3" t="s">
        <v>125</v>
      </c>
      <c r="Q95" s="3"/>
      <c r="R95" s="3" t="s">
        <v>121</v>
      </c>
      <c r="S95" s="3"/>
      <c r="T95" s="3" t="s">
        <v>16</v>
      </c>
      <c r="U95" s="3"/>
      <c r="V95" s="3"/>
      <c r="W95" s="3"/>
      <c r="X95" s="3"/>
      <c r="Y95" s="3"/>
    </row>
    <row r="96" ht="15.75" customHeight="1">
      <c r="A96" s="3"/>
      <c r="B96" s="3" t="s">
        <v>534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 t="s">
        <v>524</v>
      </c>
      <c r="N96" s="3" t="s">
        <v>10</v>
      </c>
      <c r="O96" s="3" t="s">
        <v>11</v>
      </c>
      <c r="P96" s="3" t="s">
        <v>10</v>
      </c>
      <c r="Q96" s="3" t="s">
        <v>11</v>
      </c>
      <c r="R96" s="3" t="s">
        <v>10</v>
      </c>
      <c r="S96" s="3" t="s">
        <v>11</v>
      </c>
      <c r="T96" s="3" t="s">
        <v>10</v>
      </c>
      <c r="U96" s="3" t="s">
        <v>11</v>
      </c>
      <c r="V96" s="3"/>
      <c r="W96" s="3"/>
      <c r="X96" s="3"/>
      <c r="Y96" s="3"/>
    </row>
    <row r="97" ht="15.75" customHeight="1">
      <c r="A97" s="3"/>
      <c r="B97" s="514" t="s">
        <v>529</v>
      </c>
      <c r="C97" s="515"/>
      <c r="D97" s="515"/>
      <c r="E97" s="515"/>
      <c r="F97" s="515"/>
      <c r="G97" s="515"/>
      <c r="H97" s="515"/>
      <c r="I97" s="515"/>
      <c r="J97" s="476"/>
      <c r="K97" s="3"/>
      <c r="L97" s="3"/>
      <c r="M97" s="431">
        <v>100.0</v>
      </c>
      <c r="N97" s="123">
        <v>180.51999999999998</v>
      </c>
      <c r="O97" s="123">
        <v>260.08</v>
      </c>
      <c r="P97" s="123">
        <v>217.35999999999999</v>
      </c>
      <c r="Q97" s="123">
        <v>323.43999999999994</v>
      </c>
      <c r="R97" s="123">
        <v>377.0</v>
      </c>
      <c r="S97" s="123">
        <v>597.9999999999999</v>
      </c>
      <c r="T97" s="123">
        <v>638.0000000000001</v>
      </c>
      <c r="U97" s="123">
        <v>1028.0</v>
      </c>
      <c r="V97" s="3"/>
      <c r="W97" s="3"/>
      <c r="X97" s="3"/>
      <c r="Y97" s="3"/>
    </row>
    <row r="98" ht="15.75" customHeight="1">
      <c r="A98" s="3"/>
      <c r="B98" s="494" t="s">
        <v>524</v>
      </c>
      <c r="C98" s="496" t="s">
        <v>129</v>
      </c>
      <c r="D98" s="476"/>
      <c r="E98" s="496" t="s">
        <v>125</v>
      </c>
      <c r="F98" s="476"/>
      <c r="G98" s="496" t="s">
        <v>121</v>
      </c>
      <c r="H98" s="476"/>
      <c r="I98" s="496" t="s">
        <v>16</v>
      </c>
      <c r="J98" s="476"/>
      <c r="K98" s="3"/>
      <c r="L98" s="3"/>
      <c r="M98" s="431">
        <v>200.0</v>
      </c>
      <c r="N98" s="123">
        <v>278.76</v>
      </c>
      <c r="O98" s="123">
        <v>429.03999999999996</v>
      </c>
      <c r="P98" s="123">
        <v>352.44</v>
      </c>
      <c r="Q98" s="123">
        <v>555.76</v>
      </c>
      <c r="R98" s="123">
        <v>658.0000000000001</v>
      </c>
      <c r="S98" s="123">
        <v>1048.0</v>
      </c>
      <c r="T98" s="123">
        <v>1174.0</v>
      </c>
      <c r="U98" s="123">
        <v>1850.0</v>
      </c>
      <c r="V98" s="3"/>
      <c r="W98" s="3"/>
      <c r="X98" s="3"/>
      <c r="Y98" s="3"/>
    </row>
    <row r="99" ht="15.75" customHeight="1">
      <c r="A99" s="3"/>
      <c r="B99" s="494" t="s">
        <v>104</v>
      </c>
      <c r="C99" s="494" t="s">
        <v>40</v>
      </c>
      <c r="D99" s="502" t="s">
        <v>41</v>
      </c>
      <c r="E99" s="494" t="s">
        <v>40</v>
      </c>
      <c r="F99" s="502" t="s">
        <v>41</v>
      </c>
      <c r="G99" s="494" t="s">
        <v>40</v>
      </c>
      <c r="H99" s="502" t="s">
        <v>41</v>
      </c>
      <c r="I99" s="494" t="s">
        <v>40</v>
      </c>
      <c r="J99" s="502" t="s">
        <v>41</v>
      </c>
      <c r="K99" s="3"/>
      <c r="L99" s="3"/>
      <c r="M99" s="431">
        <v>300.0</v>
      </c>
      <c r="N99" s="123">
        <v>377.0</v>
      </c>
      <c r="O99" s="123">
        <v>597.9999999999999</v>
      </c>
      <c r="P99" s="123">
        <v>469.84000000000003</v>
      </c>
      <c r="Q99" s="123">
        <v>735.0400000000001</v>
      </c>
      <c r="R99" s="123">
        <v>913.0</v>
      </c>
      <c r="S99" s="123">
        <v>1420.0</v>
      </c>
      <c r="T99" s="123">
        <v>1658.0</v>
      </c>
      <c r="U99" s="123">
        <v>2594.0</v>
      </c>
      <c r="V99" s="3"/>
      <c r="W99" s="3"/>
      <c r="X99" s="3"/>
      <c r="Y99" s="3"/>
    </row>
    <row r="100" ht="15.75" customHeight="1">
      <c r="A100" s="3"/>
      <c r="B100" s="494">
        <v>100.0</v>
      </c>
      <c r="C100" s="511" t="str">
        <f t="shared" ref="C100:J100" si="16">#REF!*1.1</f>
        <v>#REF!</v>
      </c>
      <c r="D100" s="511" t="str">
        <f t="shared" si="16"/>
        <v>#REF!</v>
      </c>
      <c r="E100" s="511" t="str">
        <f t="shared" si="16"/>
        <v>#REF!</v>
      </c>
      <c r="F100" s="511" t="str">
        <f t="shared" si="16"/>
        <v>#REF!</v>
      </c>
      <c r="G100" s="511" t="str">
        <f t="shared" si="16"/>
        <v>#REF!</v>
      </c>
      <c r="H100" s="511" t="str">
        <f t="shared" si="16"/>
        <v>#REF!</v>
      </c>
      <c r="I100" s="511" t="str">
        <f t="shared" si="16"/>
        <v>#REF!</v>
      </c>
      <c r="J100" s="511" t="str">
        <f t="shared" si="16"/>
        <v>#REF!</v>
      </c>
      <c r="K100" s="3"/>
      <c r="L100" s="3"/>
      <c r="M100" s="431">
        <v>500.0</v>
      </c>
      <c r="N100" s="123">
        <v>563.9200000000001</v>
      </c>
      <c r="O100" s="123">
        <v>891.5200000000001</v>
      </c>
      <c r="P100" s="123">
        <v>699.44</v>
      </c>
      <c r="Q100" s="123">
        <v>1078.0</v>
      </c>
      <c r="R100" s="123">
        <v>1410.0</v>
      </c>
      <c r="S100" s="123">
        <v>2190.0</v>
      </c>
      <c r="T100" s="123">
        <v>2740.0</v>
      </c>
      <c r="U100" s="123">
        <v>4300.0</v>
      </c>
      <c r="V100" s="3"/>
      <c r="W100" s="3"/>
      <c r="X100" s="3"/>
      <c r="Y100" s="3"/>
    </row>
    <row r="101" ht="15.75" customHeight="1">
      <c r="A101" s="3"/>
      <c r="B101" s="494">
        <v>200.0</v>
      </c>
      <c r="C101" s="511" t="str">
        <f t="shared" ref="C101:J101" si="17">#REF!*1.1</f>
        <v>#REF!</v>
      </c>
      <c r="D101" s="511" t="str">
        <f t="shared" si="17"/>
        <v>#REF!</v>
      </c>
      <c r="E101" s="511" t="str">
        <f t="shared" si="17"/>
        <v>#REF!</v>
      </c>
      <c r="F101" s="511" t="str">
        <f t="shared" si="17"/>
        <v>#REF!</v>
      </c>
      <c r="G101" s="511" t="str">
        <f t="shared" si="17"/>
        <v>#REF!</v>
      </c>
      <c r="H101" s="511" t="str">
        <f t="shared" si="17"/>
        <v>#REF!</v>
      </c>
      <c r="I101" s="511" t="str">
        <f t="shared" si="17"/>
        <v>#REF!</v>
      </c>
      <c r="J101" s="511" t="str">
        <f t="shared" si="17"/>
        <v>#REF!</v>
      </c>
      <c r="K101" s="3"/>
      <c r="L101" s="3"/>
      <c r="M101" s="431">
        <v>1000.0</v>
      </c>
      <c r="N101" s="123">
        <v>1014.16</v>
      </c>
      <c r="O101" s="123">
        <v>1582.0</v>
      </c>
      <c r="P101" s="123">
        <v>1270.64</v>
      </c>
      <c r="Q101" s="123">
        <v>1969.52</v>
      </c>
      <c r="R101" s="123">
        <v>2740.0</v>
      </c>
      <c r="S101" s="123">
        <v>4300.0</v>
      </c>
      <c r="T101" s="123">
        <v>5170.000000000001</v>
      </c>
      <c r="U101" s="123">
        <v>8030.000000000001</v>
      </c>
      <c r="V101" s="3"/>
      <c r="W101" s="3"/>
      <c r="X101" s="3"/>
      <c r="Y101" s="3"/>
    </row>
    <row r="102" ht="15.75" customHeight="1">
      <c r="A102" s="3"/>
      <c r="B102" s="494">
        <v>300.0</v>
      </c>
      <c r="C102" s="511" t="str">
        <f t="shared" ref="C102:J102" si="18">#REF!*1.1</f>
        <v>#REF!</v>
      </c>
      <c r="D102" s="511" t="str">
        <f t="shared" si="18"/>
        <v>#REF!</v>
      </c>
      <c r="E102" s="511" t="str">
        <f t="shared" si="18"/>
        <v>#REF!</v>
      </c>
      <c r="F102" s="511" t="str">
        <f t="shared" si="18"/>
        <v>#REF!</v>
      </c>
      <c r="G102" s="511" t="str">
        <f t="shared" si="18"/>
        <v>#REF!</v>
      </c>
      <c r="H102" s="511" t="str">
        <f t="shared" si="18"/>
        <v>#REF!</v>
      </c>
      <c r="I102" s="511" t="str">
        <f t="shared" si="18"/>
        <v>#REF!</v>
      </c>
      <c r="J102" s="511" t="str">
        <f t="shared" si="18"/>
        <v>#REF!</v>
      </c>
      <c r="K102" s="3"/>
      <c r="L102" s="3"/>
      <c r="M102" s="418"/>
      <c r="N102" s="418"/>
      <c r="O102" s="418"/>
      <c r="P102" s="418"/>
      <c r="Q102" s="418"/>
      <c r="R102" s="418"/>
      <c r="S102" s="418"/>
      <c r="T102" s="418"/>
      <c r="U102" s="3"/>
      <c r="V102" s="3"/>
      <c r="W102" s="3"/>
      <c r="X102" s="3"/>
      <c r="Y102" s="3"/>
    </row>
    <row r="103" ht="15.75" customHeight="1">
      <c r="A103" s="3"/>
      <c r="B103" s="494">
        <v>500.0</v>
      </c>
      <c r="C103" s="511" t="str">
        <f t="shared" ref="C103:J103" si="19">#REF!*1.1</f>
        <v>#REF!</v>
      </c>
      <c r="D103" s="511" t="str">
        <f t="shared" si="19"/>
        <v>#REF!</v>
      </c>
      <c r="E103" s="511" t="str">
        <f t="shared" si="19"/>
        <v>#REF!</v>
      </c>
      <c r="F103" s="511" t="str">
        <f t="shared" si="19"/>
        <v>#REF!</v>
      </c>
      <c r="G103" s="511" t="str">
        <f t="shared" si="19"/>
        <v>#REF!</v>
      </c>
      <c r="H103" s="511" t="str">
        <f t="shared" si="19"/>
        <v>#REF!</v>
      </c>
      <c r="I103" s="511" t="str">
        <f t="shared" si="19"/>
        <v>#REF!</v>
      </c>
      <c r="J103" s="511" t="str">
        <f t="shared" si="19"/>
        <v>#REF!</v>
      </c>
      <c r="K103" s="3"/>
      <c r="L103" s="3"/>
      <c r="M103" s="418"/>
      <c r="N103" s="418"/>
      <c r="O103" s="418"/>
      <c r="P103" s="418"/>
      <c r="Q103" s="418"/>
      <c r="R103" s="418"/>
      <c r="S103" s="418"/>
      <c r="T103" s="418"/>
      <c r="U103" s="3"/>
      <c r="V103" s="3"/>
      <c r="W103" s="3"/>
      <c r="X103" s="3"/>
      <c r="Y103" s="3"/>
    </row>
    <row r="104" ht="15.75" customHeight="1">
      <c r="A104" s="3"/>
      <c r="B104" s="494">
        <v>1000.0</v>
      </c>
      <c r="C104" s="511" t="str">
        <f t="shared" ref="C104:J104" si="20">#REF!*1.1</f>
        <v>#REF!</v>
      </c>
      <c r="D104" s="511" t="str">
        <f t="shared" si="20"/>
        <v>#REF!</v>
      </c>
      <c r="E104" s="511" t="str">
        <f t="shared" si="20"/>
        <v>#REF!</v>
      </c>
      <c r="F104" s="511" t="str">
        <f t="shared" si="20"/>
        <v>#REF!</v>
      </c>
      <c r="G104" s="511" t="str">
        <f t="shared" si="20"/>
        <v>#REF!</v>
      </c>
      <c r="H104" s="511" t="str">
        <f t="shared" si="20"/>
        <v>#REF!</v>
      </c>
      <c r="I104" s="511" t="str">
        <f t="shared" si="20"/>
        <v>#REF!</v>
      </c>
      <c r="J104" s="511" t="str">
        <f t="shared" si="20"/>
        <v>#REF!</v>
      </c>
      <c r="K104" s="3"/>
      <c r="L104" s="3"/>
      <c r="M104" s="418"/>
      <c r="N104" s="418"/>
      <c r="O104" s="418"/>
      <c r="P104" s="418"/>
      <c r="Q104" s="418"/>
      <c r="R104" s="418"/>
      <c r="S104" s="418"/>
      <c r="T104" s="418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494" t="s">
        <v>535</v>
      </c>
      <c r="C108" s="3"/>
      <c r="D108" s="3"/>
      <c r="E108" s="3"/>
      <c r="F108" s="3"/>
      <c r="G108" s="3"/>
      <c r="H108" s="494" t="s">
        <v>535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 t="s">
        <v>536</v>
      </c>
      <c r="C109" s="3"/>
      <c r="D109" s="3"/>
      <c r="E109" s="3"/>
      <c r="F109" s="3"/>
      <c r="G109" s="3"/>
      <c r="H109" s="3" t="s">
        <v>536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494" t="s">
        <v>535</v>
      </c>
      <c r="C110" s="496" t="s">
        <v>539</v>
      </c>
      <c r="D110" s="515"/>
      <c r="E110" s="515"/>
      <c r="F110" s="476"/>
      <c r="G110" s="3"/>
      <c r="H110" s="494" t="s">
        <v>535</v>
      </c>
      <c r="I110" s="496" t="s">
        <v>540</v>
      </c>
      <c r="J110" s="515"/>
      <c r="K110" s="515"/>
      <c r="L110" s="47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123"/>
      <c r="B111" s="494" t="s">
        <v>104</v>
      </c>
      <c r="C111" s="494" t="s">
        <v>139</v>
      </c>
      <c r="D111" s="502" t="s">
        <v>135</v>
      </c>
      <c r="E111" s="494" t="s">
        <v>482</v>
      </c>
      <c r="F111" s="502" t="s">
        <v>541</v>
      </c>
      <c r="G111" s="3"/>
      <c r="H111" s="494" t="s">
        <v>104</v>
      </c>
      <c r="I111" s="494" t="s">
        <v>139</v>
      </c>
      <c r="J111" s="502" t="s">
        <v>135</v>
      </c>
      <c r="K111" s="494" t="s">
        <v>482</v>
      </c>
      <c r="L111" s="502" t="s">
        <v>541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123"/>
      <c r="B112" s="494">
        <v>100.0</v>
      </c>
      <c r="C112" s="511" t="str">
        <f t="shared" ref="C112:F112" si="21">CEILING(#REF!,5)*1.1</f>
        <v>#REF!</v>
      </c>
      <c r="D112" s="511" t="str">
        <f t="shared" si="21"/>
        <v>#REF!</v>
      </c>
      <c r="E112" s="511" t="str">
        <f t="shared" si="21"/>
        <v>#REF!</v>
      </c>
      <c r="F112" s="511" t="str">
        <f t="shared" si="21"/>
        <v>#REF!</v>
      </c>
      <c r="G112" s="3"/>
      <c r="H112" s="494">
        <v>100.0</v>
      </c>
      <c r="I112" s="511" t="str">
        <f t="shared" ref="I112:L112" si="22">CEILING(#REF!,5)*1.1</f>
        <v>#REF!</v>
      </c>
      <c r="J112" s="511" t="str">
        <f t="shared" si="22"/>
        <v>#REF!</v>
      </c>
      <c r="K112" s="511" t="str">
        <f t="shared" si="22"/>
        <v>#REF!</v>
      </c>
      <c r="L112" s="511" t="str">
        <f t="shared" si="22"/>
        <v>#REF!</v>
      </c>
      <c r="M112" s="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</row>
    <row r="113" ht="15.75" customHeight="1">
      <c r="A113" s="123"/>
      <c r="B113" s="494">
        <v>200.0</v>
      </c>
      <c r="C113" s="511" t="str">
        <f t="shared" ref="C113:F113" si="23">CEILING(#REF!,5)*1.1</f>
        <v>#REF!</v>
      </c>
      <c r="D113" s="511" t="str">
        <f t="shared" si="23"/>
        <v>#REF!</v>
      </c>
      <c r="E113" s="511" t="str">
        <f t="shared" si="23"/>
        <v>#REF!</v>
      </c>
      <c r="F113" s="511" t="str">
        <f t="shared" si="23"/>
        <v>#REF!</v>
      </c>
      <c r="G113" s="3"/>
      <c r="H113" s="494">
        <v>200.0</v>
      </c>
      <c r="I113" s="511" t="str">
        <f t="shared" ref="I113:L113" si="24">CEILING(#REF!,5)*1.1</f>
        <v>#REF!</v>
      </c>
      <c r="J113" s="511" t="str">
        <f t="shared" si="24"/>
        <v>#REF!</v>
      </c>
      <c r="K113" s="511" t="str">
        <f t="shared" si="24"/>
        <v>#REF!</v>
      </c>
      <c r="L113" s="511" t="str">
        <f t="shared" si="24"/>
        <v>#REF!</v>
      </c>
      <c r="M113" s="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</row>
    <row r="114" ht="15.75" customHeight="1">
      <c r="A114" s="123"/>
      <c r="B114" s="494">
        <v>300.0</v>
      </c>
      <c r="C114" s="511" t="str">
        <f t="shared" ref="C114:F114" si="25">CEILING(#REF!,5)*1.1</f>
        <v>#REF!</v>
      </c>
      <c r="D114" s="511" t="str">
        <f t="shared" si="25"/>
        <v>#REF!</v>
      </c>
      <c r="E114" s="511" t="str">
        <f t="shared" si="25"/>
        <v>#REF!</v>
      </c>
      <c r="F114" s="511" t="str">
        <f t="shared" si="25"/>
        <v>#REF!</v>
      </c>
      <c r="G114" s="3"/>
      <c r="H114" s="494">
        <v>300.0</v>
      </c>
      <c r="I114" s="511" t="str">
        <f t="shared" ref="I114:L114" si="26">CEILING(#REF!,5)*1.1</f>
        <v>#REF!</v>
      </c>
      <c r="J114" s="511" t="str">
        <f t="shared" si="26"/>
        <v>#REF!</v>
      </c>
      <c r="K114" s="511" t="str">
        <f t="shared" si="26"/>
        <v>#REF!</v>
      </c>
      <c r="L114" s="511" t="str">
        <f t="shared" si="26"/>
        <v>#REF!</v>
      </c>
      <c r="M114" s="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</row>
    <row r="115" ht="15.75" customHeight="1">
      <c r="A115" s="123"/>
      <c r="B115" s="494">
        <v>500.0</v>
      </c>
      <c r="C115" s="511" t="str">
        <f t="shared" ref="C115:F115" si="27">CEILING(#REF!,5)*1.1</f>
        <v>#REF!</v>
      </c>
      <c r="D115" s="511" t="str">
        <f t="shared" si="27"/>
        <v>#REF!</v>
      </c>
      <c r="E115" s="511" t="str">
        <f t="shared" si="27"/>
        <v>#REF!</v>
      </c>
      <c r="F115" s="511" t="str">
        <f t="shared" si="27"/>
        <v>#REF!</v>
      </c>
      <c r="G115" s="3"/>
      <c r="H115" s="494">
        <v>500.0</v>
      </c>
      <c r="I115" s="511" t="str">
        <f t="shared" ref="I115:L115" si="28">CEILING(#REF!,5)*1.1</f>
        <v>#REF!</v>
      </c>
      <c r="J115" s="511" t="str">
        <f t="shared" si="28"/>
        <v>#REF!</v>
      </c>
      <c r="K115" s="511" t="str">
        <f t="shared" si="28"/>
        <v>#REF!</v>
      </c>
      <c r="L115" s="511" t="str">
        <f t="shared" si="28"/>
        <v>#REF!</v>
      </c>
      <c r="M115" s="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</row>
    <row r="116" ht="15.75" customHeight="1">
      <c r="A116" s="3"/>
      <c r="B116" s="494">
        <v>1000.0</v>
      </c>
      <c r="C116" s="511" t="str">
        <f t="shared" ref="C116:F116" si="29">CEILING(#REF!,5)*1.1</f>
        <v>#REF!</v>
      </c>
      <c r="D116" s="511" t="str">
        <f t="shared" si="29"/>
        <v>#REF!</v>
      </c>
      <c r="E116" s="511" t="str">
        <f t="shared" si="29"/>
        <v>#REF!</v>
      </c>
      <c r="F116" s="511" t="str">
        <f t="shared" si="29"/>
        <v>#REF!</v>
      </c>
      <c r="G116" s="3"/>
      <c r="H116" s="494">
        <v>1000.0</v>
      </c>
      <c r="I116" s="511" t="str">
        <f t="shared" ref="I116:L116" si="30">CEILING(#REF!,5)*1.1</f>
        <v>#REF!</v>
      </c>
      <c r="J116" s="511" t="str">
        <f t="shared" si="30"/>
        <v>#REF!</v>
      </c>
      <c r="K116" s="511" t="str">
        <f t="shared" si="30"/>
        <v>#REF!</v>
      </c>
      <c r="L116" s="511" t="str">
        <f t="shared" si="30"/>
        <v>#REF!</v>
      </c>
      <c r="M116" s="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494" t="s">
        <v>543</v>
      </c>
      <c r="C120" s="3"/>
      <c r="D120" s="3"/>
      <c r="E120" s="3"/>
      <c r="F120" s="3"/>
      <c r="G120" s="3"/>
      <c r="H120" s="494" t="s">
        <v>543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 t="s">
        <v>767</v>
      </c>
      <c r="C121" s="3"/>
      <c r="D121" s="3"/>
      <c r="E121" s="3"/>
      <c r="F121" s="3"/>
      <c r="G121" s="3"/>
      <c r="H121" s="3" t="s">
        <v>767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494" t="s">
        <v>544</v>
      </c>
      <c r="C122" s="496" t="s">
        <v>539</v>
      </c>
      <c r="D122" s="515"/>
      <c r="E122" s="515"/>
      <c r="F122" s="476"/>
      <c r="G122" s="3"/>
      <c r="H122" s="494" t="s">
        <v>544</v>
      </c>
      <c r="I122" s="496" t="s">
        <v>540</v>
      </c>
      <c r="J122" s="515"/>
      <c r="K122" s="515"/>
      <c r="L122" s="47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494" t="s">
        <v>104</v>
      </c>
      <c r="C123" s="494" t="s">
        <v>139</v>
      </c>
      <c r="D123" s="502" t="s">
        <v>135</v>
      </c>
      <c r="E123" s="494" t="s">
        <v>482</v>
      </c>
      <c r="F123" s="502" t="s">
        <v>541</v>
      </c>
      <c r="G123" s="3"/>
      <c r="H123" s="494" t="s">
        <v>104</v>
      </c>
      <c r="I123" s="494" t="s">
        <v>139</v>
      </c>
      <c r="J123" s="502" t="s">
        <v>135</v>
      </c>
      <c r="K123" s="494" t="s">
        <v>482</v>
      </c>
      <c r="L123" s="502" t="s">
        <v>541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123"/>
      <c r="B124" s="494">
        <v>100.0</v>
      </c>
      <c r="C124" s="511" t="str">
        <f t="shared" ref="C124:F124" si="31">CEILING(#REF!,5)*1.1</f>
        <v>#REF!</v>
      </c>
      <c r="D124" s="511" t="str">
        <f t="shared" si="31"/>
        <v>#REF!</v>
      </c>
      <c r="E124" s="511" t="str">
        <f t="shared" si="31"/>
        <v>#REF!</v>
      </c>
      <c r="F124" s="511" t="str">
        <f t="shared" si="31"/>
        <v>#REF!</v>
      </c>
      <c r="G124" s="3"/>
      <c r="H124" s="494">
        <v>100.0</v>
      </c>
      <c r="I124" s="511" t="str">
        <f t="shared" ref="I124:L124" si="32">CEILING(#REF!,5)*1.1</f>
        <v>#REF!</v>
      </c>
      <c r="J124" s="511" t="str">
        <f t="shared" si="32"/>
        <v>#REF!</v>
      </c>
      <c r="K124" s="511" t="str">
        <f t="shared" si="32"/>
        <v>#REF!</v>
      </c>
      <c r="L124" s="511" t="str">
        <f t="shared" si="32"/>
        <v>#REF!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123"/>
      <c r="B125" s="494">
        <v>200.0</v>
      </c>
      <c r="C125" s="511" t="str">
        <f t="shared" ref="C125:F125" si="33">CEILING(#REF!,5)*1.1</f>
        <v>#REF!</v>
      </c>
      <c r="D125" s="511" t="str">
        <f t="shared" si="33"/>
        <v>#REF!</v>
      </c>
      <c r="E125" s="511" t="str">
        <f t="shared" si="33"/>
        <v>#REF!</v>
      </c>
      <c r="F125" s="511" t="str">
        <f t="shared" si="33"/>
        <v>#REF!</v>
      </c>
      <c r="G125" s="3"/>
      <c r="H125" s="494">
        <v>200.0</v>
      </c>
      <c r="I125" s="511" t="str">
        <f t="shared" ref="I125:L125" si="34">CEILING(#REF!,5)*1.1</f>
        <v>#REF!</v>
      </c>
      <c r="J125" s="511" t="str">
        <f t="shared" si="34"/>
        <v>#REF!</v>
      </c>
      <c r="K125" s="511" t="str">
        <f t="shared" si="34"/>
        <v>#REF!</v>
      </c>
      <c r="L125" s="511" t="str">
        <f t="shared" si="34"/>
        <v>#REF!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123"/>
      <c r="B126" s="494">
        <v>300.0</v>
      </c>
      <c r="C126" s="511" t="str">
        <f t="shared" ref="C126:F126" si="35">CEILING(#REF!,5)*1.1</f>
        <v>#REF!</v>
      </c>
      <c r="D126" s="511" t="str">
        <f t="shared" si="35"/>
        <v>#REF!</v>
      </c>
      <c r="E126" s="511" t="str">
        <f t="shared" si="35"/>
        <v>#REF!</v>
      </c>
      <c r="F126" s="511" t="str">
        <f t="shared" si="35"/>
        <v>#REF!</v>
      </c>
      <c r="G126" s="3"/>
      <c r="H126" s="494">
        <v>300.0</v>
      </c>
      <c r="I126" s="511" t="str">
        <f t="shared" ref="I126:L126" si="36">CEILING(#REF!,5)*1.1</f>
        <v>#REF!</v>
      </c>
      <c r="J126" s="511" t="str">
        <f t="shared" si="36"/>
        <v>#REF!</v>
      </c>
      <c r="K126" s="511" t="str">
        <f t="shared" si="36"/>
        <v>#REF!</v>
      </c>
      <c r="L126" s="511" t="str">
        <f t="shared" si="36"/>
        <v>#REF!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123"/>
      <c r="B127" s="494">
        <v>500.0</v>
      </c>
      <c r="C127" s="511" t="str">
        <f t="shared" ref="C127:F127" si="37">CEILING(#REF!,5)*1.1</f>
        <v>#REF!</v>
      </c>
      <c r="D127" s="511" t="str">
        <f t="shared" si="37"/>
        <v>#REF!</v>
      </c>
      <c r="E127" s="511" t="str">
        <f t="shared" si="37"/>
        <v>#REF!</v>
      </c>
      <c r="F127" s="511" t="str">
        <f t="shared" si="37"/>
        <v>#REF!</v>
      </c>
      <c r="G127" s="3"/>
      <c r="H127" s="494">
        <v>500.0</v>
      </c>
      <c r="I127" s="511" t="str">
        <f t="shared" ref="I127:L127" si="38">CEILING(#REF!,5)*1.1</f>
        <v>#REF!</v>
      </c>
      <c r="J127" s="511" t="str">
        <f t="shared" si="38"/>
        <v>#REF!</v>
      </c>
      <c r="K127" s="511" t="str">
        <f t="shared" si="38"/>
        <v>#REF!</v>
      </c>
      <c r="L127" s="511" t="str">
        <f t="shared" si="38"/>
        <v>#REF!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123"/>
      <c r="B128" s="494">
        <v>1000.0</v>
      </c>
      <c r="C128" s="511" t="str">
        <f t="shared" ref="C128:F128" si="39">CEILING(#REF!,5)*1.1</f>
        <v>#REF!</v>
      </c>
      <c r="D128" s="511" t="str">
        <f t="shared" si="39"/>
        <v>#REF!</v>
      </c>
      <c r="E128" s="511" t="str">
        <f t="shared" si="39"/>
        <v>#REF!</v>
      </c>
      <c r="F128" s="511" t="str">
        <f t="shared" si="39"/>
        <v>#REF!</v>
      </c>
      <c r="G128" s="3"/>
      <c r="H128" s="494">
        <v>1000.0</v>
      </c>
      <c r="I128" s="511" t="str">
        <f t="shared" ref="I128:L128" si="40">CEILING(#REF!,5)*1.1</f>
        <v>#REF!</v>
      </c>
      <c r="J128" s="511" t="str">
        <f t="shared" si="40"/>
        <v>#REF!</v>
      </c>
      <c r="K128" s="511" t="str">
        <f t="shared" si="40"/>
        <v>#REF!</v>
      </c>
      <c r="L128" s="511" t="str">
        <f t="shared" si="40"/>
        <v>#REF!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</row>
    <row r="132" ht="15.75" customHeight="1">
      <c r="A132" s="3"/>
      <c r="B132" s="494" t="s">
        <v>558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 t="s">
        <v>551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 t="s">
        <v>486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 t="s">
        <v>552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490" t="s">
        <v>504</v>
      </c>
      <c r="C136" s="491"/>
      <c r="D136" s="491"/>
      <c r="E136" s="491"/>
      <c r="F136" s="491"/>
      <c r="G136" s="491"/>
      <c r="H136" s="491"/>
      <c r="I136" s="491"/>
      <c r="J136" s="49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494" t="s">
        <v>104</v>
      </c>
      <c r="C137" s="496" t="s">
        <v>473</v>
      </c>
      <c r="D137" s="476"/>
      <c r="E137" s="496" t="s">
        <v>71</v>
      </c>
      <c r="F137" s="476"/>
      <c r="G137" s="496" t="s">
        <v>494</v>
      </c>
      <c r="H137" s="476"/>
      <c r="I137" s="496" t="s">
        <v>495</v>
      </c>
      <c r="J137" s="497"/>
      <c r="K137" s="496" t="s">
        <v>627</v>
      </c>
      <c r="L137" s="49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494" t="s">
        <v>550</v>
      </c>
      <c r="C138" s="494" t="s">
        <v>10</v>
      </c>
      <c r="D138" s="502" t="s">
        <v>11</v>
      </c>
      <c r="E138" s="502" t="s">
        <v>10</v>
      </c>
      <c r="F138" s="502" t="s">
        <v>11</v>
      </c>
      <c r="G138" s="494" t="s">
        <v>10</v>
      </c>
      <c r="H138" s="502" t="s">
        <v>11</v>
      </c>
      <c r="I138" s="502" t="s">
        <v>10</v>
      </c>
      <c r="J138" s="502" t="s">
        <v>11</v>
      </c>
      <c r="K138" s="502" t="s">
        <v>10</v>
      </c>
      <c r="L138" s="502" t="s">
        <v>11</v>
      </c>
      <c r="M138" s="547" t="s">
        <v>559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494">
        <v>1.0</v>
      </c>
      <c r="C139" s="549" t="str">
        <f t="shared" ref="C139:M139" si="41">#REF!*1.1</f>
        <v>#REF!</v>
      </c>
      <c r="D139" s="549" t="str">
        <f t="shared" si="41"/>
        <v>#REF!</v>
      </c>
      <c r="E139" s="549" t="str">
        <f t="shared" si="41"/>
        <v>#REF!</v>
      </c>
      <c r="F139" s="549" t="str">
        <f t="shared" si="41"/>
        <v>#REF!</v>
      </c>
      <c r="G139" s="549" t="str">
        <f t="shared" si="41"/>
        <v>#REF!</v>
      </c>
      <c r="H139" s="549" t="str">
        <f t="shared" si="41"/>
        <v>#REF!</v>
      </c>
      <c r="I139" s="549" t="str">
        <f t="shared" si="41"/>
        <v>#REF!</v>
      </c>
      <c r="J139" s="549" t="str">
        <f t="shared" si="41"/>
        <v>#REF!</v>
      </c>
      <c r="K139" s="549" t="str">
        <f t="shared" si="41"/>
        <v>#REF!</v>
      </c>
      <c r="L139" s="549" t="str">
        <f t="shared" si="41"/>
        <v>#REF!</v>
      </c>
      <c r="M139" s="549" t="str">
        <f t="shared" si="41"/>
        <v>#REF!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494" t="s">
        <v>434</v>
      </c>
      <c r="C140" s="549" t="str">
        <f t="shared" ref="C140:M140" si="42">#REF!*1.1</f>
        <v>#REF!</v>
      </c>
      <c r="D140" s="549" t="str">
        <f t="shared" si="42"/>
        <v>#REF!</v>
      </c>
      <c r="E140" s="549" t="str">
        <f t="shared" si="42"/>
        <v>#REF!</v>
      </c>
      <c r="F140" s="549" t="str">
        <f t="shared" si="42"/>
        <v>#REF!</v>
      </c>
      <c r="G140" s="549" t="str">
        <f t="shared" si="42"/>
        <v>#REF!</v>
      </c>
      <c r="H140" s="549" t="str">
        <f t="shared" si="42"/>
        <v>#REF!</v>
      </c>
      <c r="I140" s="549" t="str">
        <f t="shared" si="42"/>
        <v>#REF!</v>
      </c>
      <c r="J140" s="549" t="str">
        <f t="shared" si="42"/>
        <v>#REF!</v>
      </c>
      <c r="K140" s="549" t="str">
        <f t="shared" si="42"/>
        <v>#REF!</v>
      </c>
      <c r="L140" s="549" t="str">
        <f t="shared" si="42"/>
        <v>#REF!</v>
      </c>
      <c r="M140" s="549" t="str">
        <f t="shared" si="42"/>
        <v>#REF!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494" t="s">
        <v>186</v>
      </c>
      <c r="C141" s="549" t="str">
        <f t="shared" ref="C141:M141" si="43">#REF!*1.1</f>
        <v>#REF!</v>
      </c>
      <c r="D141" s="549" t="str">
        <f t="shared" si="43"/>
        <v>#REF!</v>
      </c>
      <c r="E141" s="549" t="str">
        <f t="shared" si="43"/>
        <v>#REF!</v>
      </c>
      <c r="F141" s="549" t="str">
        <f t="shared" si="43"/>
        <v>#REF!</v>
      </c>
      <c r="G141" s="549" t="str">
        <f t="shared" si="43"/>
        <v>#REF!</v>
      </c>
      <c r="H141" s="549" t="str">
        <f t="shared" si="43"/>
        <v>#REF!</v>
      </c>
      <c r="I141" s="549" t="str">
        <f t="shared" si="43"/>
        <v>#REF!</v>
      </c>
      <c r="J141" s="549" t="str">
        <f t="shared" si="43"/>
        <v>#REF!</v>
      </c>
      <c r="K141" s="549" t="str">
        <f t="shared" si="43"/>
        <v>#REF!</v>
      </c>
      <c r="L141" s="549" t="str">
        <f t="shared" si="43"/>
        <v>#REF!</v>
      </c>
      <c r="M141" s="549" t="str">
        <f t="shared" si="43"/>
        <v>#REF!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494" t="s">
        <v>181</v>
      </c>
      <c r="C142" s="549" t="str">
        <f t="shared" ref="C142:M142" si="44">#REF!*1.1</f>
        <v>#REF!</v>
      </c>
      <c r="D142" s="549" t="str">
        <f t="shared" si="44"/>
        <v>#REF!</v>
      </c>
      <c r="E142" s="549" t="str">
        <f t="shared" si="44"/>
        <v>#REF!</v>
      </c>
      <c r="F142" s="549" t="str">
        <f t="shared" si="44"/>
        <v>#REF!</v>
      </c>
      <c r="G142" s="549" t="str">
        <f t="shared" si="44"/>
        <v>#REF!</v>
      </c>
      <c r="H142" s="549" t="str">
        <f t="shared" si="44"/>
        <v>#REF!</v>
      </c>
      <c r="I142" s="549" t="str">
        <f t="shared" si="44"/>
        <v>#REF!</v>
      </c>
      <c r="J142" s="549" t="str">
        <f t="shared" si="44"/>
        <v>#REF!</v>
      </c>
      <c r="K142" s="549" t="str">
        <f t="shared" si="44"/>
        <v>#REF!</v>
      </c>
      <c r="L142" s="549" t="str">
        <f t="shared" si="44"/>
        <v>#REF!</v>
      </c>
      <c r="M142" s="549" t="str">
        <f t="shared" si="44"/>
        <v>#REF!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494" t="s">
        <v>182</v>
      </c>
      <c r="C143" s="549" t="str">
        <f t="shared" ref="C143:M143" si="45">#REF!*1.1</f>
        <v>#REF!</v>
      </c>
      <c r="D143" s="549" t="str">
        <f t="shared" si="45"/>
        <v>#REF!</v>
      </c>
      <c r="E143" s="549" t="str">
        <f t="shared" si="45"/>
        <v>#REF!</v>
      </c>
      <c r="F143" s="549" t="str">
        <f t="shared" si="45"/>
        <v>#REF!</v>
      </c>
      <c r="G143" s="549" t="str">
        <f t="shared" si="45"/>
        <v>#REF!</v>
      </c>
      <c r="H143" s="549" t="str">
        <f t="shared" si="45"/>
        <v>#REF!</v>
      </c>
      <c r="I143" s="549" t="str">
        <f t="shared" si="45"/>
        <v>#REF!</v>
      </c>
      <c r="J143" s="549" t="str">
        <f t="shared" si="45"/>
        <v>#REF!</v>
      </c>
      <c r="K143" s="549" t="str">
        <f t="shared" si="45"/>
        <v>#REF!</v>
      </c>
      <c r="L143" s="549" t="str">
        <f t="shared" si="45"/>
        <v>#REF!</v>
      </c>
      <c r="M143" s="549" t="str">
        <f t="shared" si="45"/>
        <v>#REF!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116"/>
      <c r="B146" s="116"/>
      <c r="C146" s="116"/>
      <c r="D146" s="116"/>
      <c r="E146" s="116"/>
      <c r="F146" s="116"/>
      <c r="G146" s="116"/>
      <c r="H146" s="116"/>
      <c r="I146" s="116" t="s">
        <v>768</v>
      </c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107" t="s">
        <v>508</v>
      </c>
      <c r="C148" s="3"/>
      <c r="D148" s="3"/>
      <c r="E148" s="3"/>
      <c r="F148" s="3"/>
      <c r="G148" s="279" t="s">
        <v>277</v>
      </c>
      <c r="H148" s="279"/>
      <c r="I148" s="279"/>
      <c r="J148" s="279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281" t="s">
        <v>16</v>
      </c>
      <c r="D150" s="281" t="s">
        <v>16</v>
      </c>
      <c r="E150" s="3"/>
      <c r="F150" s="3"/>
      <c r="G150" s="760" t="s">
        <v>278</v>
      </c>
      <c r="H150" s="760" t="s">
        <v>769</v>
      </c>
      <c r="I150" s="760" t="s">
        <v>769</v>
      </c>
      <c r="J150" s="761" t="s">
        <v>280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281" t="s">
        <v>104</v>
      </c>
      <c r="C151" s="281" t="s">
        <v>770</v>
      </c>
      <c r="D151" s="281" t="s">
        <v>771</v>
      </c>
      <c r="E151" s="3"/>
      <c r="F151" s="281" t="s">
        <v>772</v>
      </c>
      <c r="G151" s="281">
        <v>6682.0</v>
      </c>
      <c r="H151" s="281">
        <v>6679.0</v>
      </c>
      <c r="I151" s="281">
        <v>6678.0</v>
      </c>
      <c r="J151" s="494">
        <v>1300.0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281">
        <v>100.0</v>
      </c>
      <c r="C152" s="113">
        <v>473.00000000000006</v>
      </c>
      <c r="D152" s="113">
        <v>275.0</v>
      </c>
      <c r="E152" s="3"/>
      <c r="F152" s="281" t="s">
        <v>287</v>
      </c>
      <c r="G152" s="281" t="s">
        <v>281</v>
      </c>
      <c r="H152" s="281" t="s">
        <v>282</v>
      </c>
      <c r="I152" s="281" t="s">
        <v>283</v>
      </c>
      <c r="J152" s="494" t="s">
        <v>284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281">
        <v>200.0</v>
      </c>
      <c r="C153" s="113">
        <v>814.0000000000001</v>
      </c>
      <c r="D153" s="113">
        <v>484.0000000000001</v>
      </c>
      <c r="E153" s="3"/>
      <c r="F153" s="281">
        <v>1.0</v>
      </c>
      <c r="G153" s="762">
        <v>13.640000000000002</v>
      </c>
      <c r="H153" s="762">
        <v>15.400000000000002</v>
      </c>
      <c r="I153" s="762">
        <v>14.630000000000003</v>
      </c>
      <c r="J153" s="762">
        <v>14.3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281">
        <v>300.0</v>
      </c>
      <c r="C154" s="113">
        <v>1221.0</v>
      </c>
      <c r="D154" s="113">
        <v>726.0000000000001</v>
      </c>
      <c r="E154" s="3"/>
      <c r="F154" s="281" t="s">
        <v>298</v>
      </c>
      <c r="G154" s="762">
        <v>12.65</v>
      </c>
      <c r="H154" s="762">
        <v>14.3</v>
      </c>
      <c r="I154" s="762">
        <v>13.530000000000001</v>
      </c>
      <c r="J154" s="762">
        <v>13.310000000000002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281">
        <v>500.0</v>
      </c>
      <c r="C155" s="113">
        <v>2035.0000000000002</v>
      </c>
      <c r="D155" s="113">
        <v>1210.0</v>
      </c>
      <c r="E155" s="3"/>
      <c r="F155" s="281" t="s">
        <v>181</v>
      </c>
      <c r="G155" s="762">
        <v>11.660000000000002</v>
      </c>
      <c r="H155" s="762">
        <v>13.200000000000001</v>
      </c>
      <c r="I155" s="762">
        <v>12.540000000000001</v>
      </c>
      <c r="J155" s="762">
        <v>12.210000000000003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281">
        <v>1000.0</v>
      </c>
      <c r="C156" s="113">
        <v>3630.000000000001</v>
      </c>
      <c r="D156" s="113">
        <v>2200.0</v>
      </c>
      <c r="E156" s="3"/>
      <c r="F156" s="281" t="s">
        <v>42</v>
      </c>
      <c r="G156" s="762">
        <v>10.670000000000002</v>
      </c>
      <c r="H156" s="762">
        <v>12.100000000000001</v>
      </c>
      <c r="I156" s="762">
        <v>11.440000000000001</v>
      </c>
      <c r="J156" s="762">
        <v>11.220000000000002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 t="s">
        <v>552</v>
      </c>
      <c r="C157" s="3"/>
      <c r="D157" s="3"/>
      <c r="E157" s="3"/>
      <c r="F157" s="281" t="s">
        <v>19</v>
      </c>
      <c r="G157" s="762">
        <v>9.680000000000001</v>
      </c>
      <c r="H157" s="762">
        <v>10.89</v>
      </c>
      <c r="I157" s="762">
        <v>10.450000000000001</v>
      </c>
      <c r="J157" s="762">
        <v>10.230000000000002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 t="s">
        <v>574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 t="s">
        <v>576</v>
      </c>
      <c r="C159" s="3"/>
      <c r="D159" s="3"/>
      <c r="E159" s="3"/>
      <c r="F159" s="3" t="s">
        <v>601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 t="s">
        <v>578</v>
      </c>
      <c r="C160" s="3"/>
      <c r="D160" s="3"/>
      <c r="E160" s="3"/>
      <c r="F160" s="3" t="s">
        <v>773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 t="s">
        <v>505</v>
      </c>
      <c r="G161" s="12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 t="s">
        <v>774</v>
      </c>
      <c r="G162" s="12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 t="s">
        <v>507</v>
      </c>
      <c r="G163" s="1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1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457" t="s">
        <v>580</v>
      </c>
      <c r="C169" s="11"/>
      <c r="D169" s="11"/>
      <c r="E169" s="11"/>
      <c r="F169" s="11"/>
      <c r="G169" s="11"/>
      <c r="H169" s="11"/>
      <c r="I169" s="11"/>
      <c r="J169" s="12"/>
      <c r="K169" s="3"/>
      <c r="L169" s="3"/>
      <c r="M169" s="3"/>
      <c r="N169" s="279" t="s">
        <v>579</v>
      </c>
      <c r="O169" s="279"/>
      <c r="P169" s="279"/>
      <c r="Q169" s="3"/>
      <c r="R169" s="279"/>
      <c r="S169" s="279"/>
      <c r="T169" s="279"/>
      <c r="U169" s="3"/>
      <c r="V169" s="3"/>
      <c r="W169" s="3"/>
      <c r="X169" s="3"/>
      <c r="Y169" s="3"/>
    </row>
    <row r="170" ht="15.75" customHeight="1">
      <c r="A170" s="3"/>
      <c r="B170" s="763" t="s">
        <v>295</v>
      </c>
      <c r="C170" s="764" t="s">
        <v>5</v>
      </c>
      <c r="D170" s="765"/>
      <c r="E170" s="765"/>
      <c r="F170" s="766"/>
      <c r="G170" s="558" t="s">
        <v>775</v>
      </c>
      <c r="H170" s="767"/>
      <c r="I170" s="767"/>
      <c r="J170" s="8"/>
      <c r="K170" s="3"/>
      <c r="L170" s="3"/>
      <c r="M170" s="3"/>
      <c r="N170" s="3"/>
      <c r="O170" s="496" t="s">
        <v>776</v>
      </c>
      <c r="P170" s="476"/>
      <c r="Q170" s="496" t="s">
        <v>777</v>
      </c>
      <c r="R170" s="476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58" t="s">
        <v>583</v>
      </c>
      <c r="C171" s="356" t="s">
        <v>10</v>
      </c>
      <c r="D171" s="768" t="s">
        <v>11</v>
      </c>
      <c r="E171" s="768" t="s">
        <v>40</v>
      </c>
      <c r="F171" s="357" t="s">
        <v>41</v>
      </c>
      <c r="G171" s="356" t="s">
        <v>10</v>
      </c>
      <c r="H171" s="768" t="s">
        <v>11</v>
      </c>
      <c r="I171" s="768" t="s">
        <v>40</v>
      </c>
      <c r="J171" s="357" t="s">
        <v>41</v>
      </c>
      <c r="K171" s="3"/>
      <c r="L171" s="3"/>
      <c r="M171" s="3"/>
      <c r="N171" s="769" t="s">
        <v>104</v>
      </c>
      <c r="O171" s="769" t="s">
        <v>778</v>
      </c>
      <c r="P171" s="770" t="s">
        <v>779</v>
      </c>
      <c r="Q171" s="769" t="s">
        <v>778</v>
      </c>
      <c r="R171" s="770" t="s">
        <v>779</v>
      </c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771">
        <v>1.0</v>
      </c>
      <c r="C172" s="772">
        <v>21.054000000000002</v>
      </c>
      <c r="D172" s="773">
        <v>29.766000000000005</v>
      </c>
      <c r="E172" s="773">
        <v>13.310000000000002</v>
      </c>
      <c r="F172" s="774">
        <v>18.150000000000002</v>
      </c>
      <c r="G172" s="775">
        <v>18.150000000000002</v>
      </c>
      <c r="H172" s="776">
        <v>26.862000000000005</v>
      </c>
      <c r="I172" s="776">
        <v>10.406000000000002</v>
      </c>
      <c r="J172" s="777">
        <v>15.246000000000002</v>
      </c>
      <c r="K172" s="3"/>
      <c r="L172" s="3"/>
      <c r="M172" s="3"/>
      <c r="N172" s="281">
        <v>100.0</v>
      </c>
      <c r="O172" s="113">
        <v>528.0</v>
      </c>
      <c r="P172" s="113">
        <v>726.0000000000001</v>
      </c>
      <c r="Q172" s="113">
        <v>924.0000000000001</v>
      </c>
      <c r="R172" s="113">
        <v>1122.0</v>
      </c>
      <c r="S172" s="3"/>
      <c r="T172" s="564"/>
      <c r="U172" s="564"/>
      <c r="V172" s="564"/>
      <c r="W172" s="564"/>
      <c r="X172" s="3"/>
      <c r="Y172" s="3"/>
    </row>
    <row r="173" ht="15.75" customHeight="1">
      <c r="A173" s="3"/>
      <c r="B173" s="778" t="s">
        <v>298</v>
      </c>
      <c r="C173" s="779">
        <v>16.698000000000004</v>
      </c>
      <c r="D173" s="780">
        <v>26.862000000000005</v>
      </c>
      <c r="E173" s="780">
        <v>11.616000000000001</v>
      </c>
      <c r="F173" s="781">
        <v>16.698</v>
      </c>
      <c r="G173" s="782">
        <v>13.794000000000002</v>
      </c>
      <c r="H173" s="783">
        <v>23.958000000000002</v>
      </c>
      <c r="I173" s="783">
        <v>8.712000000000002</v>
      </c>
      <c r="J173" s="784">
        <v>13.794000000000002</v>
      </c>
      <c r="K173" s="3"/>
      <c r="L173" s="3"/>
      <c r="M173" s="3"/>
      <c r="N173" s="281">
        <v>200.0</v>
      </c>
      <c r="O173" s="113">
        <v>924.0</v>
      </c>
      <c r="P173" s="113">
        <v>1320.0</v>
      </c>
      <c r="Q173" s="113">
        <v>1583.9999999999998</v>
      </c>
      <c r="R173" s="113">
        <v>1980.0000000000002</v>
      </c>
      <c r="S173" s="3"/>
      <c r="T173" s="564"/>
      <c r="U173" s="564"/>
      <c r="V173" s="564"/>
      <c r="W173" s="564"/>
      <c r="X173" s="3"/>
      <c r="Y173" s="3"/>
    </row>
    <row r="174" ht="15.75" customHeight="1">
      <c r="A174" s="3"/>
      <c r="B174" s="778" t="s">
        <v>181</v>
      </c>
      <c r="C174" s="779">
        <v>15.246000000000002</v>
      </c>
      <c r="D174" s="780">
        <v>23.958000000000002</v>
      </c>
      <c r="E174" s="780">
        <v>10.89</v>
      </c>
      <c r="F174" s="781">
        <v>15.246000000000002</v>
      </c>
      <c r="G174" s="782">
        <v>12.342000000000002</v>
      </c>
      <c r="H174" s="783">
        <v>21.054000000000002</v>
      </c>
      <c r="I174" s="783">
        <v>7.986000000000001</v>
      </c>
      <c r="J174" s="784">
        <v>12.342000000000002</v>
      </c>
      <c r="K174" s="3"/>
      <c r="L174" s="3"/>
      <c r="M174" s="3"/>
      <c r="N174" s="281">
        <v>300.0</v>
      </c>
      <c r="O174" s="113">
        <v>1385.9999999999998</v>
      </c>
      <c r="P174" s="113">
        <v>1980.0000000000002</v>
      </c>
      <c r="Q174" s="113">
        <v>2376.0</v>
      </c>
      <c r="R174" s="113">
        <v>2970.0000000000005</v>
      </c>
      <c r="S174" s="3"/>
      <c r="T174" s="564"/>
      <c r="U174" s="564"/>
      <c r="V174" s="564"/>
      <c r="W174" s="564"/>
      <c r="X174" s="3"/>
      <c r="Y174" s="3"/>
    </row>
    <row r="175" ht="15.75" customHeight="1">
      <c r="A175" s="3"/>
      <c r="B175" s="778" t="s">
        <v>42</v>
      </c>
      <c r="C175" s="779">
        <v>13.794000000000002</v>
      </c>
      <c r="D175" s="780">
        <v>21.054000000000002</v>
      </c>
      <c r="E175" s="780">
        <v>10.164000000000003</v>
      </c>
      <c r="F175" s="781">
        <v>13.794000000000002</v>
      </c>
      <c r="G175" s="782">
        <v>10.89</v>
      </c>
      <c r="H175" s="783">
        <v>18.150000000000002</v>
      </c>
      <c r="I175" s="783">
        <v>7.260000000000002</v>
      </c>
      <c r="J175" s="784">
        <v>10.89</v>
      </c>
      <c r="K175" s="3"/>
      <c r="L175" s="3"/>
      <c r="M175" s="3"/>
      <c r="N175" s="281">
        <v>500.0</v>
      </c>
      <c r="O175" s="113">
        <v>2309.9999999999995</v>
      </c>
      <c r="P175" s="113">
        <v>3300.0000000000005</v>
      </c>
      <c r="Q175" s="113">
        <v>3960.0</v>
      </c>
      <c r="R175" s="113">
        <v>4950.0</v>
      </c>
      <c r="S175" s="3"/>
      <c r="T175" s="564"/>
      <c r="U175" s="564"/>
      <c r="V175" s="564"/>
      <c r="W175" s="564"/>
      <c r="X175" s="3"/>
      <c r="Y175" s="3"/>
    </row>
    <row r="176" ht="15.75" customHeight="1">
      <c r="A176" s="3"/>
      <c r="B176" s="785" t="s">
        <v>19</v>
      </c>
      <c r="C176" s="786">
        <v>10.6</v>
      </c>
      <c r="D176" s="787">
        <v>15.0</v>
      </c>
      <c r="E176" s="787">
        <v>8.0</v>
      </c>
      <c r="F176" s="788">
        <v>10.2</v>
      </c>
      <c r="G176" s="789">
        <v>8.2</v>
      </c>
      <c r="H176" s="790">
        <v>12.6</v>
      </c>
      <c r="I176" s="790">
        <v>5.6</v>
      </c>
      <c r="J176" s="791">
        <v>7.8</v>
      </c>
      <c r="K176" s="3"/>
      <c r="L176" s="3"/>
      <c r="M176" s="3"/>
      <c r="N176" s="281">
        <v>1000.0</v>
      </c>
      <c r="O176" s="113">
        <v>4180.000000000001</v>
      </c>
      <c r="P176" s="113">
        <v>6160.000000000001</v>
      </c>
      <c r="Q176" s="113">
        <v>7040.0</v>
      </c>
      <c r="R176" s="113">
        <v>9020.0</v>
      </c>
      <c r="S176" s="3"/>
      <c r="T176" s="564"/>
      <c r="U176" s="564"/>
      <c r="V176" s="564"/>
      <c r="W176" s="564"/>
      <c r="X176" s="3"/>
      <c r="Y176" s="3"/>
    </row>
    <row r="177" ht="15.75" customHeight="1">
      <c r="A177" s="3"/>
      <c r="B177" s="3"/>
      <c r="C177" s="3" t="s">
        <v>780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 t="s">
        <v>781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 t="s">
        <v>782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 t="s">
        <v>576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 t="s">
        <v>585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 t="s">
        <v>578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 t="s">
        <v>783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V62:W62"/>
    <mergeCell ref="X62:Y62"/>
    <mergeCell ref="B59:L59"/>
    <mergeCell ref="C60:E60"/>
    <mergeCell ref="F60:H60"/>
    <mergeCell ref="I60:J60"/>
    <mergeCell ref="K60:L60"/>
    <mergeCell ref="P62:R62"/>
    <mergeCell ref="S62:U62"/>
    <mergeCell ref="S71:U71"/>
    <mergeCell ref="V71:W71"/>
    <mergeCell ref="X71:Y71"/>
    <mergeCell ref="B69:J69"/>
    <mergeCell ref="C70:D70"/>
    <mergeCell ref="E70:F70"/>
    <mergeCell ref="G70:H70"/>
    <mergeCell ref="I70:J70"/>
    <mergeCell ref="K70:L70"/>
    <mergeCell ref="P71:R71"/>
    <mergeCell ref="R84:S84"/>
    <mergeCell ref="T84:U84"/>
    <mergeCell ref="B83:J83"/>
    <mergeCell ref="C84:D84"/>
    <mergeCell ref="E84:F84"/>
    <mergeCell ref="G84:H84"/>
    <mergeCell ref="I84:J84"/>
    <mergeCell ref="N84:O84"/>
    <mergeCell ref="P84:Q84"/>
    <mergeCell ref="I137:J137"/>
    <mergeCell ref="B169:J169"/>
    <mergeCell ref="C170:F170"/>
    <mergeCell ref="G170:J170"/>
    <mergeCell ref="O170:P170"/>
    <mergeCell ref="Q170:R170"/>
    <mergeCell ref="C122:F122"/>
    <mergeCell ref="I122:L122"/>
    <mergeCell ref="B136:J136"/>
    <mergeCell ref="C137:D137"/>
    <mergeCell ref="E137:F137"/>
    <mergeCell ref="G137:H137"/>
    <mergeCell ref="K137:L137"/>
    <mergeCell ref="P6:R6"/>
    <mergeCell ref="S6:U6"/>
    <mergeCell ref="V6:W6"/>
    <mergeCell ref="X6:Y6"/>
    <mergeCell ref="C7:L7"/>
    <mergeCell ref="C8:E8"/>
    <mergeCell ref="F8:H8"/>
    <mergeCell ref="I8:J8"/>
    <mergeCell ref="K8:L8"/>
    <mergeCell ref="P18:R18"/>
    <mergeCell ref="S18:U18"/>
    <mergeCell ref="V18:W18"/>
    <mergeCell ref="X18:Y18"/>
    <mergeCell ref="B19:L19"/>
    <mergeCell ref="C20:E20"/>
    <mergeCell ref="F20:H20"/>
    <mergeCell ref="I20:J20"/>
    <mergeCell ref="K20:L20"/>
    <mergeCell ref="S28:U28"/>
    <mergeCell ref="V28:W28"/>
    <mergeCell ref="X28:Y28"/>
    <mergeCell ref="P28:R28"/>
    <mergeCell ref="B32:J32"/>
    <mergeCell ref="C33:D33"/>
    <mergeCell ref="E33:F33"/>
    <mergeCell ref="G33:H33"/>
    <mergeCell ref="I33:J33"/>
    <mergeCell ref="K33:L33"/>
    <mergeCell ref="V50:W50"/>
    <mergeCell ref="X50:Y50"/>
    <mergeCell ref="C47:L47"/>
    <mergeCell ref="C48:E48"/>
    <mergeCell ref="F48:H48"/>
    <mergeCell ref="I48:J48"/>
    <mergeCell ref="K48:L48"/>
    <mergeCell ref="P50:R50"/>
    <mergeCell ref="S50:U50"/>
    <mergeCell ref="B97:J97"/>
    <mergeCell ref="C98:D98"/>
    <mergeCell ref="E98:F98"/>
    <mergeCell ref="G98:H98"/>
    <mergeCell ref="I98:J98"/>
    <mergeCell ref="C110:F110"/>
    <mergeCell ref="I110:L1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29"/>
    <col customWidth="1" min="3" max="3" width="37.29"/>
    <col customWidth="1" min="4" max="8" width="10.71"/>
    <col customWidth="1" min="9" max="9" width="11.43"/>
    <col customWidth="1" min="10" max="10" width="13.29"/>
    <col customWidth="1" min="11" max="11" width="10.71"/>
    <col customWidth="1" min="12" max="12" width="11.43"/>
    <col customWidth="1" min="13" max="13" width="10.71"/>
    <col customWidth="1" min="14" max="14" width="16.71"/>
    <col customWidth="1" min="15" max="15" width="10.71"/>
    <col customWidth="1" min="17" max="26" width="10.71"/>
  </cols>
  <sheetData>
    <row r="1">
      <c r="B1" s="3" t="s">
        <v>784</v>
      </c>
      <c r="C1" s="3" t="s">
        <v>785</v>
      </c>
      <c r="E1" s="3">
        <v>15000.0</v>
      </c>
      <c r="F1" s="3">
        <v>7000.0</v>
      </c>
      <c r="G1" s="3">
        <v>10000.0</v>
      </c>
      <c r="H1" s="3">
        <v>5000.0</v>
      </c>
      <c r="I1" s="3">
        <v>500.0</v>
      </c>
      <c r="J1" s="3">
        <v>1.0</v>
      </c>
      <c r="K1" s="3" t="s">
        <v>786</v>
      </c>
      <c r="L1" s="3">
        <v>800.0</v>
      </c>
      <c r="N1" s="3">
        <v>1.21</v>
      </c>
      <c r="O1" s="3" t="s">
        <v>92</v>
      </c>
    </row>
    <row r="2">
      <c r="A2" s="3" t="s">
        <v>787</v>
      </c>
      <c r="B2" s="3"/>
      <c r="C2" s="3"/>
      <c r="D2" s="3" t="s">
        <v>788</v>
      </c>
      <c r="E2" s="3" t="s">
        <v>789</v>
      </c>
      <c r="F2" s="3" t="s">
        <v>790</v>
      </c>
      <c r="G2" s="3">
        <v>20000.0</v>
      </c>
      <c r="H2" s="3" t="s">
        <v>791</v>
      </c>
      <c r="I2" s="3" t="s">
        <v>792</v>
      </c>
      <c r="J2" s="3" t="s">
        <v>793</v>
      </c>
      <c r="K2" s="3" t="s">
        <v>794</v>
      </c>
      <c r="L2" s="3" t="s">
        <v>795</v>
      </c>
      <c r="M2" s="3" t="s">
        <v>796</v>
      </c>
      <c r="N2" s="3" t="s">
        <v>797</v>
      </c>
      <c r="Q2" s="3" t="s">
        <v>798</v>
      </c>
    </row>
    <row r="3">
      <c r="A3" s="3" t="s">
        <v>799</v>
      </c>
      <c r="B3" s="3">
        <v>400.0</v>
      </c>
      <c r="C3" s="3" t="s">
        <v>800</v>
      </c>
      <c r="D3" s="60">
        <v>65.0</v>
      </c>
      <c r="E3" s="60">
        <v>95.0</v>
      </c>
      <c r="F3" s="60">
        <v>170.0</v>
      </c>
      <c r="G3" s="60"/>
      <c r="H3" s="60">
        <f t="shared" ref="H3:H9" si="1">D3*E3*F3/$G$2</f>
        <v>52.4875</v>
      </c>
      <c r="I3" s="60">
        <f t="shared" ref="I3:I9" si="2">H3/500</f>
        <v>0.104975</v>
      </c>
      <c r="J3" s="60">
        <f>J1/$I$3</f>
        <v>9.526077638</v>
      </c>
      <c r="K3" s="60">
        <v>7.0</v>
      </c>
      <c r="L3" s="792">
        <f t="shared" ref="L3:L9" si="3">M3/$I$1</f>
        <v>587.86</v>
      </c>
      <c r="M3" s="3">
        <f t="shared" ref="M3:M9" si="4">H3*K3*$L$1</f>
        <v>293930</v>
      </c>
      <c r="N3" s="793">
        <f t="shared" ref="N3:N9" si="5">L3*$N$1</f>
        <v>711.3106</v>
      </c>
      <c r="O3" s="3">
        <f>N3*P3</f>
        <v>1244793.55</v>
      </c>
      <c r="P3" s="3">
        <v>1750.0</v>
      </c>
    </row>
    <row r="4">
      <c r="A4" s="3" t="s">
        <v>799</v>
      </c>
      <c r="B4" s="3" t="s">
        <v>801</v>
      </c>
      <c r="C4" s="3" t="s">
        <v>802</v>
      </c>
      <c r="D4" s="3">
        <v>72.0</v>
      </c>
      <c r="E4" s="3">
        <v>102.0</v>
      </c>
      <c r="F4" s="3">
        <v>150.0</v>
      </c>
      <c r="G4" s="3"/>
      <c r="H4" s="3">
        <f t="shared" si="1"/>
        <v>55.08</v>
      </c>
      <c r="I4" s="3">
        <f t="shared" si="2"/>
        <v>0.11016</v>
      </c>
      <c r="J4" s="3">
        <f>J1/$I$4</f>
        <v>9.077705156</v>
      </c>
      <c r="K4" s="3">
        <v>3.5</v>
      </c>
      <c r="L4" s="792">
        <f t="shared" si="3"/>
        <v>308.448</v>
      </c>
      <c r="M4" s="3">
        <f t="shared" si="4"/>
        <v>154224</v>
      </c>
      <c r="N4" s="793">
        <f t="shared" si="5"/>
        <v>373.22208</v>
      </c>
      <c r="O4" s="3"/>
      <c r="Q4" s="3" t="s">
        <v>803</v>
      </c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799</v>
      </c>
      <c r="B5" s="3"/>
      <c r="C5" s="3"/>
      <c r="D5" s="3">
        <v>72.0</v>
      </c>
      <c r="E5" s="3">
        <v>102.0</v>
      </c>
      <c r="F5" s="3">
        <v>300.0</v>
      </c>
      <c r="G5" s="3"/>
      <c r="H5" s="3">
        <f t="shared" si="1"/>
        <v>110.16</v>
      </c>
      <c r="I5" s="3">
        <f t="shared" si="2"/>
        <v>0.22032</v>
      </c>
      <c r="J5" s="3">
        <f>J1/$I$5</f>
        <v>4.538852578</v>
      </c>
      <c r="K5" s="3">
        <v>3.5</v>
      </c>
      <c r="L5" s="792">
        <f t="shared" si="3"/>
        <v>616.896</v>
      </c>
      <c r="M5" s="3">
        <f t="shared" si="4"/>
        <v>308448</v>
      </c>
      <c r="N5" s="793">
        <f t="shared" si="5"/>
        <v>746.44416</v>
      </c>
      <c r="O5" s="3"/>
      <c r="Q5" s="3" t="s">
        <v>804</v>
      </c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799</v>
      </c>
      <c r="B6" s="3"/>
      <c r="C6" s="3"/>
      <c r="D6" s="3">
        <v>72.0</v>
      </c>
      <c r="E6" s="3">
        <v>102.0</v>
      </c>
      <c r="F6" s="3">
        <v>350.0</v>
      </c>
      <c r="G6" s="3"/>
      <c r="H6" s="3">
        <f t="shared" si="1"/>
        <v>128.52</v>
      </c>
      <c r="I6" s="3">
        <f t="shared" si="2"/>
        <v>0.25704</v>
      </c>
      <c r="J6" s="3">
        <f>J1/$I$6</f>
        <v>3.890445067</v>
      </c>
      <c r="K6" s="3">
        <v>3.5</v>
      </c>
      <c r="L6" s="792">
        <f t="shared" si="3"/>
        <v>719.712</v>
      </c>
      <c r="M6" s="3">
        <f t="shared" si="4"/>
        <v>359856</v>
      </c>
      <c r="N6" s="793">
        <f t="shared" si="5"/>
        <v>870.85152</v>
      </c>
      <c r="O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271</v>
      </c>
      <c r="B7" s="3" t="s">
        <v>805</v>
      </c>
      <c r="C7" s="3" t="s">
        <v>806</v>
      </c>
      <c r="D7" s="3">
        <v>72.0</v>
      </c>
      <c r="E7" s="3">
        <v>102.0</v>
      </c>
      <c r="F7" s="3">
        <v>75.0</v>
      </c>
      <c r="G7" s="3"/>
      <c r="H7" s="3">
        <f t="shared" si="1"/>
        <v>27.54</v>
      </c>
      <c r="I7" s="3">
        <f t="shared" si="2"/>
        <v>0.05508</v>
      </c>
      <c r="J7" s="3">
        <f>J1/$I$7</f>
        <v>18.15541031</v>
      </c>
      <c r="K7" s="3">
        <v>2.75</v>
      </c>
      <c r="L7" s="792">
        <f t="shared" si="3"/>
        <v>121.176</v>
      </c>
      <c r="M7" s="3">
        <f t="shared" si="4"/>
        <v>60588</v>
      </c>
      <c r="N7" s="793">
        <f t="shared" si="5"/>
        <v>146.62296</v>
      </c>
      <c r="O7" s="3"/>
      <c r="Q7" s="3" t="s">
        <v>807</v>
      </c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808</v>
      </c>
      <c r="B8" s="3" t="s">
        <v>809</v>
      </c>
      <c r="C8" s="3"/>
      <c r="D8" s="3">
        <v>82.0</v>
      </c>
      <c r="E8" s="3">
        <v>120.0</v>
      </c>
      <c r="F8" s="3">
        <v>80.0</v>
      </c>
      <c r="G8" s="3"/>
      <c r="H8" s="3">
        <f t="shared" si="1"/>
        <v>39.36</v>
      </c>
      <c r="I8" s="3">
        <f t="shared" si="2"/>
        <v>0.07872</v>
      </c>
      <c r="J8" s="3">
        <f>J1/$I$8</f>
        <v>12.70325203</v>
      </c>
      <c r="K8" s="3">
        <v>4.85</v>
      </c>
      <c r="L8" s="792">
        <f t="shared" si="3"/>
        <v>305.4336</v>
      </c>
      <c r="M8" s="3">
        <f t="shared" si="4"/>
        <v>152716.8</v>
      </c>
      <c r="N8" s="793">
        <f t="shared" si="5"/>
        <v>369.574656</v>
      </c>
      <c r="O8" s="3">
        <f t="shared" ref="O8:O9" si="6">N8/5</f>
        <v>73.9149312</v>
      </c>
      <c r="S8" s="3"/>
      <c r="T8" s="3"/>
      <c r="U8" s="3"/>
      <c r="V8" s="3"/>
      <c r="W8" s="3"/>
      <c r="X8" s="3"/>
      <c r="Y8" s="3"/>
      <c r="Z8" s="3"/>
    </row>
    <row r="9">
      <c r="A9" s="3" t="s">
        <v>808</v>
      </c>
      <c r="B9" s="3" t="s">
        <v>809</v>
      </c>
      <c r="C9" s="3"/>
      <c r="D9" s="3">
        <v>82.0</v>
      </c>
      <c r="E9" s="3">
        <v>120.0</v>
      </c>
      <c r="F9" s="3">
        <v>200.0</v>
      </c>
      <c r="G9" s="3"/>
      <c r="H9" s="3">
        <f t="shared" si="1"/>
        <v>98.4</v>
      </c>
      <c r="I9" s="3">
        <f t="shared" si="2"/>
        <v>0.1968</v>
      </c>
      <c r="J9" s="3">
        <f>J1/$I$9</f>
        <v>5.081300813</v>
      </c>
      <c r="K9" s="3">
        <v>4.85</v>
      </c>
      <c r="L9" s="792">
        <f t="shared" si="3"/>
        <v>763.584</v>
      </c>
      <c r="M9" s="3">
        <f t="shared" si="4"/>
        <v>381792</v>
      </c>
      <c r="N9" s="793">
        <f t="shared" si="5"/>
        <v>923.93664</v>
      </c>
      <c r="O9" s="3">
        <f t="shared" si="6"/>
        <v>184.787328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H10" s="3"/>
      <c r="I10" s="3"/>
      <c r="J10" s="3"/>
      <c r="K10" s="3"/>
      <c r="L10" s="792"/>
      <c r="M10" s="3"/>
      <c r="N10" s="79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792"/>
      <c r="M11" s="3"/>
      <c r="N11" s="793"/>
      <c r="O11" s="3"/>
      <c r="Q11" s="3" t="s">
        <v>810</v>
      </c>
      <c r="S11" s="3"/>
      <c r="T11" s="3"/>
      <c r="U11" s="3"/>
      <c r="V11" s="3"/>
      <c r="W11" s="3"/>
      <c r="X11" s="3"/>
      <c r="Y11" s="3"/>
      <c r="Z11" s="3"/>
    </row>
    <row r="12">
      <c r="B12" s="3"/>
      <c r="C12" s="3"/>
      <c r="I12" s="3"/>
      <c r="J12" s="3"/>
      <c r="L12" s="3"/>
    </row>
    <row r="13">
      <c r="A13" s="3"/>
      <c r="B13" s="3"/>
      <c r="C13" s="3"/>
      <c r="D13" s="3"/>
      <c r="E13" s="3"/>
      <c r="F13" s="3"/>
      <c r="H13" s="3"/>
      <c r="I13" s="3"/>
      <c r="J13" s="3"/>
      <c r="K13" s="3"/>
      <c r="L13" s="3"/>
      <c r="M13" s="3"/>
      <c r="N13" s="3"/>
      <c r="Q13" s="3" t="s">
        <v>811</v>
      </c>
    </row>
    <row r="14">
      <c r="A14" s="3"/>
      <c r="B14" s="3"/>
      <c r="C14" s="3"/>
      <c r="D14" s="3"/>
      <c r="E14" s="3"/>
      <c r="F14" s="392"/>
      <c r="G14" s="3"/>
      <c r="H14" s="3"/>
      <c r="I14" s="3"/>
      <c r="J14" s="3"/>
      <c r="K14" s="3"/>
      <c r="L14" s="3"/>
      <c r="M14" s="3"/>
      <c r="N14" s="3"/>
    </row>
    <row r="15">
      <c r="B15" s="3"/>
      <c r="C15" s="3"/>
      <c r="I15" s="3"/>
      <c r="J15" s="3"/>
      <c r="L15" s="3"/>
      <c r="Q15" s="3" t="s">
        <v>812</v>
      </c>
    </row>
    <row r="16">
      <c r="B16" s="3"/>
      <c r="C16" s="3"/>
      <c r="I16" s="3"/>
      <c r="J16" s="3"/>
      <c r="L16" s="3"/>
    </row>
    <row r="17">
      <c r="B17" s="3"/>
      <c r="C17" s="3"/>
      <c r="I17" s="3"/>
      <c r="J17" s="3"/>
      <c r="L17" s="3"/>
      <c r="Q17" s="3" t="s">
        <v>813</v>
      </c>
    </row>
    <row r="18">
      <c r="B18" s="3"/>
      <c r="C18" s="3"/>
      <c r="I18" s="3"/>
      <c r="J18" s="3"/>
      <c r="L18" s="3"/>
    </row>
    <row r="19">
      <c r="B19" s="3"/>
      <c r="C19" s="3"/>
      <c r="E19" s="218"/>
      <c r="I19" s="3"/>
      <c r="J19" s="3"/>
      <c r="L19" s="3"/>
      <c r="Q19" s="3" t="s">
        <v>814</v>
      </c>
    </row>
    <row r="20">
      <c r="B20" s="3"/>
      <c r="C20" s="3"/>
      <c r="I20" s="3"/>
      <c r="J20" s="3"/>
      <c r="L20" s="3"/>
    </row>
    <row r="21" ht="15.75" customHeight="1">
      <c r="B21" s="3"/>
      <c r="C21" s="3"/>
      <c r="I21" s="3">
        <v>115.0</v>
      </c>
      <c r="J21" s="3">
        <f>J3*H1</f>
        <v>47630.38819</v>
      </c>
      <c r="L21" s="3"/>
      <c r="Q21" s="3" t="s">
        <v>815</v>
      </c>
    </row>
    <row r="22" ht="15.75" customHeight="1">
      <c r="B22" s="3"/>
      <c r="C22" s="3"/>
      <c r="I22" s="3">
        <v>150.0</v>
      </c>
      <c r="J22" s="3">
        <f>J4*G1</f>
        <v>90777.05156</v>
      </c>
      <c r="L22" s="3"/>
    </row>
    <row r="23" ht="15.75" customHeight="1">
      <c r="B23" s="3"/>
      <c r="C23" s="3"/>
      <c r="I23" s="3">
        <v>300.0</v>
      </c>
      <c r="J23" s="3">
        <f>J5*F1</f>
        <v>31771.96805</v>
      </c>
      <c r="L23" s="3"/>
      <c r="Q23" s="3" t="s">
        <v>816</v>
      </c>
    </row>
    <row r="24" ht="15.75" customHeight="1">
      <c r="B24" s="3"/>
      <c r="C24" s="3"/>
      <c r="I24" s="3">
        <v>350.0</v>
      </c>
      <c r="J24" s="3">
        <f>J6*E1</f>
        <v>58356.676</v>
      </c>
      <c r="L24" s="3"/>
    </row>
    <row r="25" ht="15.75" customHeight="1">
      <c r="B25" s="3"/>
      <c r="C25" s="3"/>
      <c r="I25" s="3"/>
      <c r="J25" s="3"/>
      <c r="L25" s="3"/>
      <c r="Q25" s="3" t="s">
        <v>817</v>
      </c>
    </row>
    <row r="26" ht="15.75" customHeight="1">
      <c r="B26" s="3"/>
      <c r="C26" s="3"/>
      <c r="I26" s="3"/>
      <c r="J26" s="3"/>
      <c r="L26" s="3"/>
    </row>
    <row r="27" ht="15.75" customHeight="1">
      <c r="B27" s="3"/>
      <c r="C27" s="3"/>
      <c r="I27" s="3"/>
      <c r="J27" s="3"/>
      <c r="L27" s="3"/>
      <c r="Q27" s="3" t="s">
        <v>816</v>
      </c>
    </row>
    <row r="28" ht="15.75" customHeight="1">
      <c r="B28" s="3"/>
      <c r="C28" s="3"/>
      <c r="I28" s="3"/>
      <c r="J28" s="3"/>
      <c r="L28" s="3"/>
    </row>
    <row r="29" ht="15.75" customHeight="1">
      <c r="B29" s="3"/>
      <c r="C29" s="3"/>
      <c r="I29" s="3"/>
      <c r="J29" s="3"/>
      <c r="L29" s="3"/>
      <c r="Q29" s="3" t="s">
        <v>818</v>
      </c>
    </row>
    <row r="30" ht="15.75" customHeight="1">
      <c r="B30" s="3"/>
      <c r="C30" s="3"/>
      <c r="I30" s="3"/>
      <c r="J30" s="3"/>
      <c r="L30" s="3"/>
    </row>
    <row r="31" ht="15.75" customHeight="1">
      <c r="B31" s="3"/>
      <c r="C31" s="3"/>
      <c r="I31" s="3"/>
      <c r="J31" s="3"/>
      <c r="L31" s="3"/>
      <c r="Q31" s="3" t="s">
        <v>819</v>
      </c>
    </row>
    <row r="32" ht="15.75" customHeight="1">
      <c r="B32" s="3"/>
      <c r="C32" s="3"/>
      <c r="I32" s="3"/>
      <c r="J32" s="3"/>
      <c r="L32" s="3"/>
    </row>
    <row r="33" ht="15.75" customHeight="1">
      <c r="B33" s="3"/>
      <c r="C33" s="3"/>
      <c r="I33" s="3"/>
      <c r="J33" s="3"/>
      <c r="L33" s="3"/>
      <c r="Q33" s="3" t="s">
        <v>820</v>
      </c>
    </row>
    <row r="34" ht="15.75" customHeight="1">
      <c r="B34" s="3"/>
      <c r="C34" s="3"/>
      <c r="I34" s="3"/>
      <c r="J34" s="3"/>
      <c r="L34" s="3"/>
    </row>
    <row r="35" ht="15.75" customHeight="1">
      <c r="B35" s="3"/>
      <c r="C35" s="3"/>
      <c r="I35" s="3"/>
      <c r="J35" s="3"/>
      <c r="L35" s="3"/>
      <c r="Q35" s="3" t="s">
        <v>821</v>
      </c>
    </row>
    <row r="36" ht="15.75" customHeight="1">
      <c r="B36" s="3"/>
      <c r="C36" s="3"/>
      <c r="I36" s="3"/>
      <c r="J36" s="3"/>
      <c r="L36" s="3"/>
    </row>
    <row r="37" ht="15.75" customHeight="1">
      <c r="B37" s="3"/>
      <c r="C37" s="3"/>
      <c r="I37" s="3"/>
      <c r="J37" s="3"/>
      <c r="L37" s="3"/>
      <c r="Q37" s="3" t="s">
        <v>822</v>
      </c>
    </row>
    <row r="38" ht="15.75" customHeight="1">
      <c r="B38" s="3"/>
      <c r="C38" s="3"/>
      <c r="I38" s="3"/>
      <c r="J38" s="3"/>
      <c r="L38" s="3"/>
    </row>
    <row r="39" ht="15.75" customHeight="1">
      <c r="B39" s="3"/>
      <c r="C39" s="3"/>
      <c r="I39" s="3"/>
      <c r="J39" s="3"/>
      <c r="L39" s="3"/>
      <c r="Q39" s="3" t="s">
        <v>823</v>
      </c>
    </row>
    <row r="40" ht="15.75" customHeight="1">
      <c r="B40" s="3"/>
      <c r="C40" s="3"/>
      <c r="I40" s="3"/>
      <c r="J40" s="3"/>
      <c r="L40" s="3"/>
    </row>
    <row r="41" ht="15.75" customHeight="1">
      <c r="B41" s="3"/>
      <c r="C41" s="3"/>
      <c r="I41" s="3"/>
      <c r="J41" s="3"/>
      <c r="L41" s="3"/>
      <c r="Q41" s="3" t="s">
        <v>824</v>
      </c>
    </row>
    <row r="42" ht="15.75" customHeight="1">
      <c r="B42" s="3"/>
      <c r="C42" s="3"/>
      <c r="I42" s="3"/>
      <c r="J42" s="3"/>
      <c r="L42" s="3"/>
    </row>
    <row r="43" ht="15.75" customHeight="1">
      <c r="B43" s="3"/>
      <c r="C43" s="3"/>
      <c r="I43" s="3"/>
      <c r="J43" s="3"/>
      <c r="L43" s="3"/>
      <c r="Q43" s="3" t="s">
        <v>825</v>
      </c>
    </row>
    <row r="44" ht="15.75" customHeight="1">
      <c r="B44" s="3"/>
      <c r="C44" s="3"/>
      <c r="I44" s="3"/>
      <c r="J44" s="3"/>
      <c r="L44" s="3"/>
    </row>
    <row r="45" ht="15.75" customHeight="1">
      <c r="B45" s="3"/>
      <c r="C45" s="3"/>
      <c r="I45" s="3"/>
      <c r="J45" s="3"/>
      <c r="L45" s="3"/>
    </row>
    <row r="46" ht="15.75" customHeight="1">
      <c r="B46" s="3"/>
      <c r="C46" s="3"/>
      <c r="I46" s="3"/>
      <c r="J46" s="3"/>
      <c r="L46" s="3"/>
    </row>
    <row r="47" ht="15.75" customHeight="1">
      <c r="B47" s="3"/>
      <c r="C47" s="3"/>
      <c r="I47" s="3"/>
      <c r="J47" s="3"/>
      <c r="L47" s="3"/>
    </row>
    <row r="48" ht="15.75" customHeight="1">
      <c r="B48" s="3"/>
      <c r="C48" s="3"/>
      <c r="I48" s="3"/>
      <c r="J48" s="3"/>
      <c r="L48" s="3"/>
    </row>
    <row r="49" ht="15.75" customHeight="1">
      <c r="B49" s="3"/>
      <c r="C49" s="3"/>
      <c r="I49" s="3"/>
      <c r="J49" s="3"/>
      <c r="L49" s="3"/>
    </row>
    <row r="50" ht="15.75" customHeight="1">
      <c r="B50" s="3"/>
      <c r="C50" s="3"/>
      <c r="I50" s="3"/>
      <c r="J50" s="3"/>
      <c r="L50" s="3"/>
    </row>
    <row r="51" ht="15.75" customHeight="1">
      <c r="B51" s="3"/>
      <c r="C51" s="3"/>
      <c r="I51" s="3"/>
      <c r="J51" s="3"/>
      <c r="L51" s="3"/>
    </row>
    <row r="52" ht="15.75" customHeight="1">
      <c r="B52" s="3"/>
      <c r="C52" s="3"/>
      <c r="I52" s="3"/>
      <c r="J52" s="3"/>
      <c r="L52" s="3"/>
    </row>
    <row r="53" ht="15.75" customHeight="1">
      <c r="B53" s="3"/>
      <c r="C53" s="3"/>
      <c r="I53" s="3"/>
      <c r="J53" s="3"/>
      <c r="L53" s="3"/>
    </row>
    <row r="54" ht="15.75" customHeight="1">
      <c r="B54" s="3"/>
      <c r="C54" s="3"/>
      <c r="I54" s="3"/>
      <c r="J54" s="3"/>
      <c r="L54" s="3"/>
    </row>
    <row r="55" ht="15.75" customHeight="1">
      <c r="B55" s="3"/>
      <c r="C55" s="3"/>
      <c r="I55" s="3"/>
      <c r="J55" s="3"/>
      <c r="L55" s="3"/>
    </row>
    <row r="56" ht="15.75" customHeight="1">
      <c r="B56" s="3"/>
      <c r="C56" s="3"/>
      <c r="I56" s="3"/>
      <c r="J56" s="3"/>
      <c r="L56" s="3"/>
    </row>
    <row r="57" ht="15.75" customHeight="1">
      <c r="B57" s="3"/>
      <c r="C57" s="3"/>
      <c r="I57" s="3"/>
      <c r="J57" s="3"/>
      <c r="L57" s="3"/>
    </row>
    <row r="58" ht="15.75" customHeight="1">
      <c r="B58" s="3"/>
      <c r="C58" s="3"/>
      <c r="I58" s="3"/>
      <c r="J58" s="3"/>
      <c r="L58" s="3"/>
    </row>
    <row r="59" ht="15.75" customHeight="1">
      <c r="B59" s="3"/>
      <c r="C59" s="3"/>
      <c r="I59" s="3"/>
      <c r="J59" s="3"/>
      <c r="L59" s="3"/>
    </row>
    <row r="60" ht="15.75" customHeight="1">
      <c r="B60" s="3"/>
      <c r="C60" s="3"/>
      <c r="I60" s="3"/>
      <c r="J60" s="3"/>
      <c r="L60" s="3"/>
    </row>
    <row r="61" ht="15.75" customHeight="1">
      <c r="B61" s="3"/>
      <c r="C61" s="3"/>
      <c r="I61" s="3"/>
      <c r="J61" s="3"/>
      <c r="L61" s="3"/>
    </row>
    <row r="62" ht="15.75" customHeight="1">
      <c r="B62" s="3"/>
      <c r="C62" s="3"/>
      <c r="I62" s="3"/>
      <c r="J62" s="3"/>
      <c r="L62" s="3"/>
    </row>
    <row r="63" ht="15.75" customHeight="1">
      <c r="B63" s="3"/>
      <c r="C63" s="3"/>
      <c r="I63" s="3"/>
      <c r="J63" s="3"/>
      <c r="L63" s="3"/>
    </row>
    <row r="64" ht="15.75" customHeight="1">
      <c r="B64" s="3"/>
      <c r="C64" s="3"/>
      <c r="I64" s="3"/>
      <c r="J64" s="3"/>
      <c r="L64" s="3"/>
    </row>
    <row r="65" ht="15.75" customHeight="1">
      <c r="B65" s="3"/>
      <c r="C65" s="3"/>
      <c r="I65" s="3"/>
      <c r="J65" s="3"/>
      <c r="L65" s="3"/>
    </row>
    <row r="66" ht="15.75" customHeight="1">
      <c r="B66" s="3"/>
      <c r="C66" s="3"/>
      <c r="I66" s="3"/>
      <c r="J66" s="3"/>
      <c r="L66" s="3"/>
    </row>
    <row r="67" ht="15.75" customHeight="1">
      <c r="B67" s="3"/>
      <c r="C67" s="3"/>
      <c r="I67" s="3"/>
      <c r="J67" s="3"/>
      <c r="L67" s="3"/>
    </row>
    <row r="68" ht="15.75" customHeight="1">
      <c r="B68" s="3"/>
      <c r="C68" s="3"/>
      <c r="I68" s="3"/>
      <c r="J68" s="3"/>
      <c r="L68" s="3"/>
    </row>
    <row r="69" ht="15.75" customHeight="1">
      <c r="B69" s="3"/>
      <c r="C69" s="3"/>
      <c r="I69" s="3"/>
      <c r="J69" s="3"/>
      <c r="L69" s="3"/>
    </row>
    <row r="70" ht="15.75" customHeight="1">
      <c r="B70" s="3"/>
      <c r="C70" s="3"/>
      <c r="I70" s="3"/>
      <c r="J70" s="3"/>
      <c r="L70" s="3"/>
    </row>
    <row r="71" ht="15.75" customHeight="1">
      <c r="B71" s="3"/>
      <c r="C71" s="3"/>
      <c r="I71" s="3"/>
      <c r="J71" s="3"/>
      <c r="L71" s="3"/>
    </row>
    <row r="72" ht="15.75" customHeight="1">
      <c r="B72" s="3"/>
      <c r="C72" s="3"/>
      <c r="I72" s="3"/>
      <c r="J72" s="3"/>
      <c r="L72" s="3"/>
    </row>
    <row r="73" ht="15.75" customHeight="1">
      <c r="B73" s="3"/>
      <c r="C73" s="3"/>
      <c r="I73" s="3"/>
      <c r="J73" s="3"/>
      <c r="L73" s="3"/>
    </row>
    <row r="74" ht="15.75" customHeight="1">
      <c r="B74" s="3"/>
      <c r="C74" s="3"/>
      <c r="I74" s="3"/>
      <c r="J74" s="3"/>
      <c r="L74" s="3"/>
    </row>
    <row r="75" ht="15.75" customHeight="1">
      <c r="B75" s="3"/>
      <c r="C75" s="3"/>
      <c r="I75" s="3"/>
      <c r="J75" s="3"/>
      <c r="L75" s="3"/>
    </row>
    <row r="76" ht="15.75" customHeight="1">
      <c r="B76" s="3"/>
      <c r="C76" s="3"/>
      <c r="I76" s="3"/>
      <c r="J76" s="3"/>
      <c r="L76" s="3"/>
    </row>
    <row r="77" ht="15.75" customHeight="1">
      <c r="B77" s="3"/>
      <c r="C77" s="3"/>
      <c r="I77" s="3"/>
      <c r="J77" s="3"/>
      <c r="L77" s="3"/>
    </row>
    <row r="78" ht="15.75" customHeight="1">
      <c r="B78" s="3"/>
      <c r="C78" s="3"/>
      <c r="I78" s="3"/>
      <c r="J78" s="3"/>
      <c r="L78" s="3"/>
    </row>
    <row r="79" ht="15.75" customHeight="1">
      <c r="B79" s="3"/>
      <c r="C79" s="3"/>
      <c r="I79" s="3"/>
      <c r="J79" s="3"/>
      <c r="L79" s="3"/>
    </row>
    <row r="80" ht="15.75" customHeight="1">
      <c r="B80" s="3"/>
      <c r="C80" s="3"/>
      <c r="I80" s="3"/>
      <c r="J80" s="3"/>
      <c r="L80" s="3"/>
    </row>
    <row r="81" ht="15.75" customHeight="1">
      <c r="B81" s="3"/>
      <c r="C81" s="3"/>
      <c r="I81" s="3"/>
      <c r="J81" s="3"/>
      <c r="L81" s="3"/>
    </row>
    <row r="82" ht="15.75" customHeight="1">
      <c r="B82" s="3"/>
      <c r="C82" s="3"/>
      <c r="I82" s="3"/>
      <c r="J82" s="3"/>
      <c r="L82" s="3"/>
    </row>
    <row r="83" ht="15.75" customHeight="1">
      <c r="B83" s="3"/>
      <c r="C83" s="3"/>
      <c r="I83" s="3"/>
      <c r="J83" s="3"/>
      <c r="L83" s="3"/>
    </row>
    <row r="84" ht="15.75" customHeight="1">
      <c r="B84" s="3"/>
      <c r="C84" s="3"/>
      <c r="I84" s="3"/>
      <c r="J84" s="3"/>
      <c r="L84" s="3"/>
    </row>
    <row r="85" ht="15.75" customHeight="1">
      <c r="B85" s="3"/>
      <c r="C85" s="3"/>
      <c r="I85" s="3"/>
      <c r="J85" s="3"/>
      <c r="L85" s="3"/>
    </row>
    <row r="86" ht="15.75" customHeight="1">
      <c r="B86" s="3"/>
      <c r="C86" s="3"/>
      <c r="I86" s="3"/>
      <c r="J86" s="3"/>
      <c r="L86" s="3"/>
    </row>
    <row r="87" ht="15.75" customHeight="1">
      <c r="B87" s="3"/>
      <c r="C87" s="3"/>
      <c r="I87" s="3"/>
      <c r="J87" s="3"/>
      <c r="L87" s="3"/>
    </row>
    <row r="88" ht="15.75" customHeight="1">
      <c r="B88" s="3"/>
      <c r="C88" s="3"/>
      <c r="I88" s="3"/>
      <c r="J88" s="3"/>
      <c r="L88" s="3"/>
    </row>
    <row r="89" ht="15.75" customHeight="1">
      <c r="B89" s="3"/>
      <c r="C89" s="3"/>
      <c r="I89" s="3"/>
      <c r="J89" s="3"/>
      <c r="L89" s="3"/>
    </row>
    <row r="90" ht="15.75" customHeight="1">
      <c r="B90" s="3"/>
      <c r="C90" s="3"/>
      <c r="I90" s="3"/>
      <c r="J90" s="3"/>
      <c r="L90" s="3"/>
    </row>
    <row r="91" ht="15.75" customHeight="1">
      <c r="B91" s="3"/>
      <c r="C91" s="3"/>
      <c r="I91" s="3"/>
      <c r="J91" s="3"/>
      <c r="L91" s="3"/>
    </row>
    <row r="92" ht="15.75" customHeight="1">
      <c r="B92" s="3"/>
      <c r="C92" s="3"/>
      <c r="I92" s="3"/>
      <c r="J92" s="3"/>
      <c r="L92" s="3"/>
    </row>
    <row r="93" ht="15.75" customHeight="1">
      <c r="B93" s="3"/>
      <c r="C93" s="3"/>
      <c r="I93" s="3"/>
      <c r="J93" s="3"/>
      <c r="L93" s="3"/>
    </row>
    <row r="94" ht="15.75" customHeight="1">
      <c r="B94" s="3"/>
      <c r="C94" s="3"/>
      <c r="I94" s="3"/>
      <c r="J94" s="3"/>
      <c r="L94" s="3"/>
    </row>
    <row r="95" ht="15.75" customHeight="1">
      <c r="B95" s="3"/>
      <c r="C95" s="3"/>
      <c r="I95" s="3"/>
      <c r="J95" s="3"/>
      <c r="L95" s="3"/>
    </row>
    <row r="96" ht="15.75" customHeight="1">
      <c r="B96" s="3"/>
      <c r="C96" s="3"/>
      <c r="I96" s="3"/>
      <c r="J96" s="3"/>
      <c r="L96" s="3"/>
    </row>
    <row r="97" ht="15.75" customHeight="1">
      <c r="B97" s="3"/>
      <c r="C97" s="3"/>
      <c r="I97" s="3"/>
      <c r="J97" s="3"/>
      <c r="L97" s="3"/>
    </row>
    <row r="98" ht="15.75" customHeight="1">
      <c r="B98" s="3"/>
      <c r="C98" s="3"/>
      <c r="I98" s="3"/>
      <c r="J98" s="3"/>
      <c r="L98" s="3"/>
    </row>
    <row r="99" ht="15.75" customHeight="1">
      <c r="B99" s="3"/>
      <c r="C99" s="3"/>
      <c r="I99" s="3"/>
      <c r="J99" s="3"/>
      <c r="L99" s="3"/>
    </row>
    <row r="100" ht="15.75" customHeight="1">
      <c r="B100" s="3"/>
      <c r="C100" s="3"/>
      <c r="I100" s="3"/>
      <c r="J100" s="3"/>
      <c r="L100" s="3"/>
    </row>
    <row r="101" ht="15.75" customHeight="1">
      <c r="B101" s="3"/>
      <c r="C101" s="3"/>
      <c r="I101" s="3"/>
      <c r="J101" s="3"/>
      <c r="L101" s="3"/>
    </row>
    <row r="102" ht="15.75" customHeight="1">
      <c r="B102" s="3"/>
      <c r="C102" s="3"/>
      <c r="I102" s="3"/>
      <c r="J102" s="3"/>
      <c r="L102" s="3"/>
    </row>
    <row r="103" ht="15.75" customHeight="1">
      <c r="B103" s="3"/>
      <c r="C103" s="3"/>
      <c r="I103" s="3"/>
      <c r="J103" s="3"/>
      <c r="L103" s="3"/>
    </row>
    <row r="104" ht="15.75" customHeight="1">
      <c r="B104" s="3"/>
      <c r="C104" s="3"/>
      <c r="I104" s="3"/>
      <c r="J104" s="3"/>
      <c r="L104" s="3"/>
    </row>
    <row r="105" ht="15.75" customHeight="1">
      <c r="B105" s="3"/>
      <c r="C105" s="3"/>
      <c r="I105" s="3"/>
      <c r="J105" s="3"/>
      <c r="L105" s="3"/>
    </row>
    <row r="106" ht="15.75" customHeight="1">
      <c r="B106" s="3"/>
      <c r="C106" s="3"/>
      <c r="I106" s="3"/>
      <c r="J106" s="3"/>
      <c r="L106" s="3"/>
    </row>
    <row r="107" ht="15.75" customHeight="1">
      <c r="B107" s="3"/>
      <c r="C107" s="3"/>
      <c r="I107" s="3"/>
      <c r="J107" s="3"/>
      <c r="L107" s="3"/>
    </row>
    <row r="108" ht="15.75" customHeight="1">
      <c r="B108" s="3"/>
      <c r="C108" s="3"/>
      <c r="I108" s="3"/>
      <c r="J108" s="3"/>
      <c r="L108" s="3"/>
    </row>
    <row r="109" ht="15.75" customHeight="1">
      <c r="B109" s="3"/>
      <c r="C109" s="3"/>
      <c r="I109" s="3"/>
      <c r="J109" s="3"/>
      <c r="L109" s="3"/>
    </row>
    <row r="110" ht="15.75" customHeight="1">
      <c r="B110" s="3"/>
      <c r="C110" s="3"/>
      <c r="I110" s="3"/>
      <c r="J110" s="3"/>
      <c r="L110" s="3"/>
    </row>
    <row r="111" ht="15.75" customHeight="1">
      <c r="B111" s="3"/>
      <c r="C111" s="3"/>
      <c r="I111" s="3"/>
      <c r="J111" s="3"/>
      <c r="L111" s="3"/>
    </row>
    <row r="112" ht="15.75" customHeight="1">
      <c r="B112" s="3"/>
      <c r="C112" s="3"/>
      <c r="I112" s="3"/>
      <c r="J112" s="3"/>
      <c r="L112" s="3"/>
    </row>
    <row r="113" ht="15.75" customHeight="1">
      <c r="B113" s="3"/>
      <c r="C113" s="3"/>
      <c r="I113" s="3"/>
      <c r="J113" s="3"/>
      <c r="L113" s="3"/>
    </row>
    <row r="114" ht="15.75" customHeight="1">
      <c r="B114" s="3"/>
      <c r="C114" s="3"/>
      <c r="I114" s="3"/>
      <c r="J114" s="3"/>
      <c r="L114" s="3"/>
    </row>
    <row r="115" ht="15.75" customHeight="1">
      <c r="B115" s="3"/>
      <c r="C115" s="3"/>
      <c r="I115" s="3"/>
      <c r="J115" s="3"/>
      <c r="L115" s="3"/>
    </row>
    <row r="116" ht="15.75" customHeight="1">
      <c r="B116" s="3"/>
      <c r="C116" s="3"/>
      <c r="I116" s="3"/>
      <c r="J116" s="3"/>
      <c r="L116" s="3"/>
    </row>
    <row r="117" ht="15.75" customHeight="1">
      <c r="B117" s="3"/>
      <c r="C117" s="3"/>
      <c r="I117" s="3"/>
      <c r="J117" s="3"/>
      <c r="L117" s="3"/>
    </row>
    <row r="118" ht="15.75" customHeight="1">
      <c r="B118" s="3"/>
      <c r="C118" s="3"/>
      <c r="I118" s="3"/>
      <c r="J118" s="3"/>
      <c r="L118" s="3"/>
    </row>
    <row r="119" ht="15.75" customHeight="1">
      <c r="B119" s="3"/>
      <c r="C119" s="3"/>
      <c r="I119" s="3"/>
      <c r="J119" s="3"/>
      <c r="L119" s="3"/>
    </row>
    <row r="120" ht="15.75" customHeight="1">
      <c r="B120" s="3"/>
      <c r="C120" s="3"/>
      <c r="I120" s="3"/>
      <c r="J120" s="3"/>
      <c r="L120" s="3"/>
    </row>
    <row r="121" ht="15.75" customHeight="1">
      <c r="B121" s="3"/>
      <c r="C121" s="3"/>
      <c r="I121" s="3"/>
      <c r="J121" s="3"/>
      <c r="L121" s="3"/>
    </row>
    <row r="122" ht="15.75" customHeight="1">
      <c r="B122" s="3"/>
      <c r="C122" s="3"/>
      <c r="I122" s="3"/>
      <c r="J122" s="3"/>
      <c r="L122" s="3"/>
    </row>
    <row r="123" ht="15.75" customHeight="1">
      <c r="B123" s="3"/>
      <c r="C123" s="3"/>
      <c r="I123" s="3"/>
      <c r="J123" s="3"/>
      <c r="L123" s="3"/>
    </row>
    <row r="124" ht="15.75" customHeight="1">
      <c r="B124" s="3"/>
      <c r="C124" s="3"/>
      <c r="I124" s="3"/>
      <c r="J124" s="3"/>
      <c r="L124" s="3"/>
    </row>
    <row r="125" ht="15.75" customHeight="1">
      <c r="B125" s="3"/>
      <c r="C125" s="3"/>
      <c r="I125" s="3"/>
      <c r="J125" s="3"/>
      <c r="L125" s="3"/>
    </row>
    <row r="126" ht="15.75" customHeight="1">
      <c r="B126" s="3"/>
      <c r="C126" s="3"/>
      <c r="I126" s="3"/>
      <c r="J126" s="3"/>
      <c r="L126" s="3"/>
    </row>
    <row r="127" ht="15.75" customHeight="1">
      <c r="B127" s="3"/>
      <c r="C127" s="3"/>
      <c r="I127" s="3"/>
      <c r="J127" s="3"/>
      <c r="L127" s="3"/>
    </row>
    <row r="128" ht="15.75" customHeight="1">
      <c r="B128" s="3"/>
      <c r="C128" s="3"/>
      <c r="I128" s="3"/>
      <c r="J128" s="3"/>
      <c r="L128" s="3"/>
    </row>
    <row r="129" ht="15.75" customHeight="1">
      <c r="B129" s="3"/>
      <c r="C129" s="3"/>
      <c r="I129" s="3"/>
      <c r="J129" s="3"/>
      <c r="L129" s="3"/>
    </row>
    <row r="130" ht="15.75" customHeight="1">
      <c r="B130" s="3"/>
      <c r="C130" s="3"/>
      <c r="I130" s="3"/>
      <c r="J130" s="3"/>
      <c r="L130" s="3"/>
    </row>
    <row r="131" ht="15.75" customHeight="1">
      <c r="B131" s="3"/>
      <c r="C131" s="3"/>
      <c r="I131" s="3"/>
      <c r="J131" s="3"/>
      <c r="L131" s="3"/>
    </row>
    <row r="132" ht="15.75" customHeight="1">
      <c r="B132" s="3"/>
      <c r="C132" s="3"/>
      <c r="I132" s="3"/>
      <c r="J132" s="3"/>
      <c r="L132" s="3"/>
    </row>
    <row r="133" ht="15.75" customHeight="1">
      <c r="B133" s="3"/>
      <c r="C133" s="3"/>
      <c r="I133" s="3"/>
      <c r="J133" s="3"/>
      <c r="L133" s="3"/>
    </row>
    <row r="134" ht="15.75" customHeight="1">
      <c r="B134" s="3"/>
      <c r="C134" s="3"/>
      <c r="I134" s="3"/>
      <c r="J134" s="3"/>
      <c r="L134" s="3"/>
    </row>
    <row r="135" ht="15.75" customHeight="1">
      <c r="B135" s="3"/>
      <c r="C135" s="3"/>
      <c r="I135" s="3"/>
      <c r="J135" s="3"/>
      <c r="L135" s="3"/>
    </row>
    <row r="136" ht="15.75" customHeight="1">
      <c r="B136" s="3"/>
      <c r="C136" s="3"/>
      <c r="I136" s="3"/>
      <c r="J136" s="3"/>
      <c r="L136" s="3"/>
    </row>
    <row r="137" ht="15.75" customHeight="1">
      <c r="B137" s="3"/>
      <c r="C137" s="3"/>
      <c r="I137" s="3"/>
      <c r="J137" s="3"/>
      <c r="L137" s="3"/>
    </row>
    <row r="138" ht="15.75" customHeight="1">
      <c r="B138" s="3"/>
      <c r="C138" s="3"/>
      <c r="I138" s="3"/>
      <c r="J138" s="3"/>
      <c r="L138" s="3"/>
    </row>
    <row r="139" ht="15.75" customHeight="1">
      <c r="B139" s="3"/>
      <c r="C139" s="3"/>
      <c r="I139" s="3"/>
      <c r="J139" s="3"/>
      <c r="L139" s="3"/>
    </row>
    <row r="140" ht="15.75" customHeight="1">
      <c r="B140" s="3"/>
      <c r="C140" s="3"/>
      <c r="I140" s="3"/>
      <c r="J140" s="3"/>
      <c r="L140" s="3"/>
    </row>
    <row r="141" ht="15.75" customHeight="1">
      <c r="B141" s="3"/>
      <c r="C141" s="3"/>
      <c r="I141" s="3"/>
      <c r="J141" s="3"/>
      <c r="L141" s="3"/>
    </row>
    <row r="142" ht="15.75" customHeight="1">
      <c r="B142" s="3"/>
      <c r="C142" s="3"/>
      <c r="I142" s="3"/>
      <c r="J142" s="3"/>
      <c r="L142" s="3"/>
    </row>
    <row r="143" ht="15.75" customHeight="1">
      <c r="B143" s="3"/>
      <c r="C143" s="3"/>
      <c r="I143" s="3"/>
      <c r="J143" s="3"/>
      <c r="L143" s="3"/>
    </row>
    <row r="144" ht="15.75" customHeight="1">
      <c r="B144" s="3"/>
      <c r="C144" s="3"/>
      <c r="I144" s="3"/>
      <c r="J144" s="3"/>
      <c r="L144" s="3"/>
    </row>
    <row r="145" ht="15.75" customHeight="1">
      <c r="B145" s="3"/>
      <c r="C145" s="3"/>
      <c r="I145" s="3"/>
      <c r="J145" s="3"/>
      <c r="L145" s="3"/>
    </row>
    <row r="146" ht="15.75" customHeight="1">
      <c r="B146" s="3"/>
      <c r="C146" s="3"/>
      <c r="I146" s="3"/>
      <c r="J146" s="3"/>
      <c r="L146" s="3"/>
    </row>
    <row r="147" ht="15.75" customHeight="1">
      <c r="B147" s="3"/>
      <c r="C147" s="3"/>
      <c r="I147" s="3"/>
      <c r="J147" s="3"/>
      <c r="L147" s="3"/>
    </row>
    <row r="148" ht="15.75" customHeight="1">
      <c r="B148" s="3"/>
      <c r="C148" s="3"/>
      <c r="I148" s="3"/>
      <c r="J148" s="3"/>
      <c r="L148" s="3"/>
    </row>
    <row r="149" ht="15.75" customHeight="1">
      <c r="B149" s="3"/>
      <c r="C149" s="3"/>
      <c r="I149" s="3"/>
      <c r="J149" s="3"/>
      <c r="L149" s="3"/>
    </row>
    <row r="150" ht="15.75" customHeight="1">
      <c r="B150" s="3"/>
      <c r="C150" s="3"/>
      <c r="I150" s="3"/>
      <c r="J150" s="3"/>
      <c r="L150" s="3"/>
    </row>
    <row r="151" ht="15.75" customHeight="1">
      <c r="B151" s="3"/>
      <c r="C151" s="3"/>
      <c r="I151" s="3"/>
      <c r="J151" s="3"/>
      <c r="L151" s="3"/>
    </row>
    <row r="152" ht="15.75" customHeight="1">
      <c r="B152" s="3"/>
      <c r="C152" s="3"/>
      <c r="I152" s="3"/>
      <c r="J152" s="3"/>
      <c r="L152" s="3"/>
    </row>
    <row r="153" ht="15.75" customHeight="1">
      <c r="B153" s="3"/>
      <c r="C153" s="3"/>
      <c r="I153" s="3"/>
      <c r="J153" s="3"/>
      <c r="L153" s="3"/>
    </row>
    <row r="154" ht="15.75" customHeight="1">
      <c r="B154" s="3"/>
      <c r="C154" s="3"/>
      <c r="I154" s="3"/>
      <c r="J154" s="3"/>
      <c r="L154" s="3"/>
    </row>
    <row r="155" ht="15.75" customHeight="1">
      <c r="B155" s="3"/>
      <c r="C155" s="3"/>
      <c r="I155" s="3"/>
      <c r="J155" s="3"/>
      <c r="L155" s="3"/>
    </row>
    <row r="156" ht="15.75" customHeight="1">
      <c r="B156" s="3"/>
      <c r="C156" s="3"/>
      <c r="I156" s="3"/>
      <c r="J156" s="3"/>
      <c r="L156" s="3"/>
    </row>
    <row r="157" ht="15.75" customHeight="1">
      <c r="B157" s="3"/>
      <c r="C157" s="3"/>
      <c r="I157" s="3"/>
      <c r="J157" s="3"/>
      <c r="L157" s="3"/>
    </row>
    <row r="158" ht="15.75" customHeight="1">
      <c r="B158" s="3"/>
      <c r="C158" s="3"/>
      <c r="I158" s="3"/>
      <c r="J158" s="3"/>
      <c r="L158" s="3"/>
    </row>
    <row r="159" ht="15.75" customHeight="1">
      <c r="B159" s="3"/>
      <c r="C159" s="3"/>
      <c r="I159" s="3"/>
      <c r="J159" s="3"/>
      <c r="L159" s="3"/>
    </row>
    <row r="160" ht="15.75" customHeight="1">
      <c r="B160" s="3"/>
      <c r="C160" s="3"/>
      <c r="I160" s="3"/>
      <c r="J160" s="3"/>
      <c r="L160" s="3"/>
    </row>
    <row r="161" ht="15.75" customHeight="1">
      <c r="B161" s="3"/>
      <c r="C161" s="3"/>
      <c r="I161" s="3"/>
      <c r="J161" s="3"/>
      <c r="L161" s="3"/>
    </row>
    <row r="162" ht="15.75" customHeight="1">
      <c r="B162" s="3"/>
      <c r="C162" s="3"/>
      <c r="I162" s="3"/>
      <c r="J162" s="3"/>
      <c r="L162" s="3"/>
    </row>
    <row r="163" ht="15.75" customHeight="1">
      <c r="B163" s="3"/>
      <c r="C163" s="3"/>
      <c r="I163" s="3"/>
      <c r="J163" s="3"/>
      <c r="L163" s="3"/>
    </row>
    <row r="164" ht="15.75" customHeight="1">
      <c r="B164" s="3"/>
      <c r="C164" s="3"/>
      <c r="I164" s="3"/>
      <c r="J164" s="3"/>
      <c r="L164" s="3"/>
    </row>
    <row r="165" ht="15.75" customHeight="1">
      <c r="B165" s="3"/>
      <c r="C165" s="3"/>
      <c r="I165" s="3"/>
      <c r="J165" s="3"/>
      <c r="L165" s="3"/>
    </row>
    <row r="166" ht="15.75" customHeight="1">
      <c r="B166" s="3"/>
      <c r="C166" s="3"/>
      <c r="I166" s="3"/>
      <c r="J166" s="3"/>
      <c r="L166" s="3"/>
    </row>
    <row r="167" ht="15.75" customHeight="1">
      <c r="B167" s="3"/>
      <c r="C167" s="3"/>
      <c r="I167" s="3"/>
      <c r="J167" s="3"/>
      <c r="L167" s="3"/>
    </row>
    <row r="168" ht="15.75" customHeight="1">
      <c r="B168" s="3"/>
      <c r="C168" s="3"/>
      <c r="I168" s="3"/>
      <c r="J168" s="3"/>
      <c r="L168" s="3"/>
    </row>
    <row r="169" ht="15.75" customHeight="1">
      <c r="B169" s="3"/>
      <c r="C169" s="3"/>
      <c r="I169" s="3"/>
      <c r="J169" s="3"/>
      <c r="L169" s="3"/>
    </row>
    <row r="170" ht="15.75" customHeight="1">
      <c r="B170" s="3"/>
      <c r="C170" s="3"/>
      <c r="I170" s="3"/>
      <c r="J170" s="3"/>
      <c r="L170" s="3"/>
    </row>
    <row r="171" ht="15.75" customHeight="1">
      <c r="B171" s="3"/>
      <c r="C171" s="3"/>
      <c r="I171" s="3"/>
      <c r="J171" s="3"/>
      <c r="L171" s="3"/>
    </row>
    <row r="172" ht="15.75" customHeight="1">
      <c r="B172" s="3"/>
      <c r="C172" s="3"/>
      <c r="I172" s="3"/>
      <c r="J172" s="3"/>
      <c r="L172" s="3"/>
    </row>
    <row r="173" ht="15.75" customHeight="1">
      <c r="B173" s="3"/>
      <c r="C173" s="3"/>
      <c r="I173" s="3"/>
      <c r="J173" s="3"/>
      <c r="L173" s="3"/>
    </row>
    <row r="174" ht="15.75" customHeight="1">
      <c r="B174" s="3"/>
      <c r="C174" s="3"/>
      <c r="I174" s="3"/>
      <c r="J174" s="3"/>
      <c r="L174" s="3"/>
    </row>
    <row r="175" ht="15.75" customHeight="1">
      <c r="B175" s="3"/>
      <c r="C175" s="3"/>
      <c r="I175" s="3"/>
      <c r="J175" s="3"/>
      <c r="L175" s="3"/>
    </row>
    <row r="176" ht="15.75" customHeight="1">
      <c r="B176" s="3"/>
      <c r="C176" s="3"/>
      <c r="I176" s="3"/>
      <c r="J176" s="3"/>
      <c r="L176" s="3"/>
    </row>
    <row r="177" ht="15.75" customHeight="1">
      <c r="B177" s="3"/>
      <c r="C177" s="3"/>
      <c r="I177" s="3"/>
      <c r="J177" s="3"/>
      <c r="L177" s="3"/>
    </row>
    <row r="178" ht="15.75" customHeight="1">
      <c r="B178" s="3"/>
      <c r="C178" s="3"/>
      <c r="I178" s="3"/>
      <c r="J178" s="3"/>
      <c r="L178" s="3"/>
    </row>
    <row r="179" ht="15.75" customHeight="1">
      <c r="B179" s="3"/>
      <c r="C179" s="3"/>
      <c r="I179" s="3"/>
      <c r="J179" s="3"/>
      <c r="L179" s="3"/>
    </row>
    <row r="180" ht="15.75" customHeight="1">
      <c r="B180" s="3"/>
      <c r="C180" s="3"/>
      <c r="I180" s="3"/>
      <c r="J180" s="3"/>
      <c r="L180" s="3"/>
    </row>
    <row r="181" ht="15.75" customHeight="1">
      <c r="B181" s="3"/>
      <c r="C181" s="3"/>
      <c r="I181" s="3"/>
      <c r="J181" s="3"/>
      <c r="L181" s="3"/>
    </row>
    <row r="182" ht="15.75" customHeight="1">
      <c r="B182" s="3"/>
      <c r="C182" s="3"/>
      <c r="I182" s="3"/>
      <c r="J182" s="3"/>
      <c r="L182" s="3"/>
    </row>
    <row r="183" ht="15.75" customHeight="1">
      <c r="B183" s="3"/>
      <c r="C183" s="3"/>
      <c r="I183" s="3"/>
      <c r="J183" s="3"/>
      <c r="L183" s="3"/>
    </row>
    <row r="184" ht="15.75" customHeight="1">
      <c r="B184" s="3"/>
      <c r="C184" s="3"/>
      <c r="I184" s="3"/>
      <c r="J184" s="3"/>
      <c r="L184" s="3"/>
    </row>
    <row r="185" ht="15.75" customHeight="1">
      <c r="B185" s="3"/>
      <c r="C185" s="3"/>
      <c r="I185" s="3"/>
      <c r="J185" s="3"/>
      <c r="L185" s="3"/>
    </row>
    <row r="186" ht="15.75" customHeight="1">
      <c r="B186" s="3"/>
      <c r="C186" s="3"/>
      <c r="I186" s="3"/>
      <c r="J186" s="3"/>
      <c r="L186" s="3"/>
    </row>
    <row r="187" ht="15.75" customHeight="1">
      <c r="B187" s="3"/>
      <c r="C187" s="3"/>
      <c r="I187" s="3"/>
      <c r="J187" s="3"/>
      <c r="L187" s="3"/>
    </row>
    <row r="188" ht="15.75" customHeight="1">
      <c r="B188" s="3"/>
      <c r="C188" s="3"/>
      <c r="I188" s="3"/>
      <c r="J188" s="3"/>
      <c r="L188" s="3"/>
    </row>
    <row r="189" ht="15.75" customHeight="1">
      <c r="B189" s="3"/>
      <c r="C189" s="3"/>
      <c r="I189" s="3"/>
      <c r="J189" s="3"/>
      <c r="L189" s="3"/>
    </row>
    <row r="190" ht="15.75" customHeight="1">
      <c r="B190" s="3"/>
      <c r="C190" s="3"/>
      <c r="I190" s="3"/>
      <c r="J190" s="3"/>
      <c r="L190" s="3"/>
    </row>
    <row r="191" ht="15.75" customHeight="1">
      <c r="B191" s="3"/>
      <c r="C191" s="3"/>
      <c r="I191" s="3"/>
      <c r="J191" s="3"/>
      <c r="L191" s="3"/>
    </row>
    <row r="192" ht="15.75" customHeight="1">
      <c r="B192" s="3"/>
      <c r="C192" s="3"/>
      <c r="I192" s="3"/>
      <c r="J192" s="3"/>
      <c r="L192" s="3"/>
    </row>
    <row r="193" ht="15.75" customHeight="1">
      <c r="B193" s="3"/>
      <c r="C193" s="3"/>
      <c r="I193" s="3"/>
      <c r="J193" s="3"/>
      <c r="L193" s="3"/>
    </row>
    <row r="194" ht="15.75" customHeight="1">
      <c r="B194" s="3"/>
      <c r="C194" s="3"/>
      <c r="I194" s="3"/>
      <c r="J194" s="3"/>
      <c r="L194" s="3"/>
    </row>
    <row r="195" ht="15.75" customHeight="1">
      <c r="B195" s="3"/>
      <c r="C195" s="3"/>
      <c r="I195" s="3"/>
      <c r="J195" s="3"/>
      <c r="L195" s="3"/>
    </row>
    <row r="196" ht="15.75" customHeight="1">
      <c r="B196" s="3"/>
      <c r="C196" s="3"/>
      <c r="I196" s="3"/>
      <c r="J196" s="3"/>
      <c r="L196" s="3"/>
    </row>
    <row r="197" ht="15.75" customHeight="1">
      <c r="B197" s="3"/>
      <c r="C197" s="3"/>
      <c r="I197" s="3"/>
      <c r="J197" s="3"/>
      <c r="L197" s="3"/>
    </row>
    <row r="198" ht="15.75" customHeight="1">
      <c r="B198" s="3"/>
      <c r="C198" s="3"/>
      <c r="I198" s="3"/>
      <c r="J198" s="3"/>
      <c r="L198" s="3"/>
    </row>
    <row r="199" ht="15.75" customHeight="1">
      <c r="B199" s="3"/>
      <c r="C199" s="3"/>
      <c r="I199" s="3"/>
      <c r="J199" s="3"/>
      <c r="L199" s="3"/>
    </row>
    <row r="200" ht="15.75" customHeight="1">
      <c r="B200" s="3"/>
      <c r="C200" s="3"/>
      <c r="I200" s="3"/>
      <c r="J200" s="3"/>
      <c r="L200" s="3"/>
    </row>
    <row r="201" ht="15.75" customHeight="1">
      <c r="B201" s="3"/>
      <c r="C201" s="3"/>
      <c r="I201" s="3"/>
      <c r="J201" s="3"/>
      <c r="L201" s="3"/>
    </row>
    <row r="202" ht="15.75" customHeight="1">
      <c r="B202" s="3"/>
      <c r="C202" s="3"/>
      <c r="I202" s="3"/>
      <c r="J202" s="3"/>
      <c r="L202" s="3"/>
    </row>
    <row r="203" ht="15.75" customHeight="1">
      <c r="B203" s="3"/>
      <c r="C203" s="3"/>
      <c r="I203" s="3"/>
      <c r="J203" s="3"/>
      <c r="L203" s="3"/>
    </row>
    <row r="204" ht="15.75" customHeight="1">
      <c r="B204" s="3"/>
      <c r="C204" s="3"/>
      <c r="I204" s="3"/>
      <c r="J204" s="3"/>
      <c r="L204" s="3"/>
    </row>
    <row r="205" ht="15.75" customHeight="1">
      <c r="B205" s="3"/>
      <c r="C205" s="3"/>
      <c r="I205" s="3"/>
      <c r="J205" s="3"/>
      <c r="L205" s="3"/>
    </row>
    <row r="206" ht="15.75" customHeight="1">
      <c r="B206" s="3"/>
      <c r="C206" s="3"/>
      <c r="I206" s="3"/>
      <c r="J206" s="3"/>
      <c r="L206" s="3"/>
    </row>
    <row r="207" ht="15.75" customHeight="1">
      <c r="B207" s="3"/>
      <c r="C207" s="3"/>
      <c r="I207" s="3"/>
      <c r="J207" s="3"/>
      <c r="L207" s="3"/>
    </row>
    <row r="208" ht="15.75" customHeight="1">
      <c r="B208" s="3"/>
      <c r="C208" s="3"/>
      <c r="I208" s="3"/>
      <c r="J208" s="3"/>
      <c r="L208" s="3"/>
    </row>
    <row r="209" ht="15.75" customHeight="1">
      <c r="B209" s="3"/>
      <c r="C209" s="3"/>
      <c r="I209" s="3"/>
      <c r="J209" s="3"/>
      <c r="L209" s="3"/>
    </row>
    <row r="210" ht="15.75" customHeight="1">
      <c r="B210" s="3"/>
      <c r="C210" s="3"/>
      <c r="I210" s="3"/>
      <c r="J210" s="3"/>
      <c r="L210" s="3"/>
    </row>
    <row r="211" ht="15.75" customHeight="1">
      <c r="B211" s="3"/>
      <c r="C211" s="3"/>
      <c r="I211" s="3"/>
      <c r="J211" s="3"/>
      <c r="L211" s="3"/>
    </row>
    <row r="212" ht="15.75" customHeight="1">
      <c r="B212" s="3"/>
      <c r="C212" s="3"/>
      <c r="I212" s="3"/>
      <c r="J212" s="3"/>
      <c r="L212" s="3"/>
    </row>
    <row r="213" ht="15.75" customHeight="1">
      <c r="B213" s="3"/>
      <c r="C213" s="3"/>
      <c r="I213" s="3"/>
      <c r="J213" s="3"/>
      <c r="L213" s="3"/>
    </row>
    <row r="214" ht="15.75" customHeight="1">
      <c r="B214" s="3"/>
      <c r="C214" s="3"/>
      <c r="I214" s="3"/>
      <c r="J214" s="3"/>
      <c r="L214" s="3"/>
    </row>
    <row r="215" ht="15.75" customHeight="1">
      <c r="B215" s="3"/>
      <c r="C215" s="3"/>
      <c r="I215" s="3"/>
      <c r="J215" s="3"/>
      <c r="L215" s="3"/>
    </row>
    <row r="216" ht="15.75" customHeight="1">
      <c r="B216" s="3"/>
      <c r="C216" s="3"/>
      <c r="I216" s="3"/>
      <c r="J216" s="3"/>
      <c r="L216" s="3"/>
    </row>
    <row r="217" ht="15.75" customHeight="1">
      <c r="B217" s="3"/>
      <c r="C217" s="3"/>
      <c r="I217" s="3"/>
      <c r="J217" s="3"/>
      <c r="L217" s="3"/>
    </row>
    <row r="218" ht="15.75" customHeight="1">
      <c r="B218" s="3"/>
      <c r="C218" s="3"/>
      <c r="I218" s="3"/>
      <c r="J218" s="3"/>
      <c r="L218" s="3"/>
    </row>
    <row r="219" ht="15.75" customHeight="1">
      <c r="B219" s="3"/>
      <c r="C219" s="3"/>
      <c r="I219" s="3"/>
      <c r="J219" s="3"/>
      <c r="L219" s="3"/>
    </row>
    <row r="220" ht="15.75" customHeight="1">
      <c r="B220" s="3"/>
      <c r="C220" s="3"/>
      <c r="I220" s="3"/>
      <c r="J220" s="3"/>
      <c r="L220" s="3"/>
    </row>
    <row r="221" ht="15.75" customHeight="1">
      <c r="B221" s="3"/>
      <c r="C221" s="3"/>
      <c r="I221" s="3"/>
      <c r="J221" s="3"/>
      <c r="L221" s="3"/>
    </row>
    <row r="222" ht="15.75" customHeight="1">
      <c r="B222" s="3"/>
      <c r="C222" s="3"/>
      <c r="I222" s="3"/>
      <c r="J222" s="3"/>
      <c r="L222" s="3"/>
    </row>
    <row r="223" ht="15.75" customHeight="1">
      <c r="B223" s="3"/>
      <c r="C223" s="3"/>
      <c r="I223" s="3"/>
      <c r="J223" s="3"/>
      <c r="L223" s="3"/>
    </row>
    <row r="224" ht="15.75" customHeight="1">
      <c r="B224" s="3"/>
      <c r="C224" s="3"/>
      <c r="I224" s="3"/>
      <c r="J224" s="3"/>
      <c r="L224" s="3"/>
    </row>
    <row r="225" ht="15.75" customHeight="1">
      <c r="B225" s="3"/>
      <c r="C225" s="3"/>
      <c r="I225" s="3"/>
      <c r="J225" s="3"/>
      <c r="L225" s="3"/>
    </row>
    <row r="226" ht="15.75" customHeight="1">
      <c r="B226" s="3"/>
      <c r="C226" s="3"/>
      <c r="I226" s="3"/>
      <c r="J226" s="3"/>
      <c r="L226" s="3"/>
    </row>
    <row r="227" ht="15.75" customHeight="1">
      <c r="B227" s="3"/>
      <c r="C227" s="3"/>
      <c r="I227" s="3"/>
      <c r="J227" s="3"/>
      <c r="L227" s="3"/>
    </row>
    <row r="228" ht="15.75" customHeight="1">
      <c r="B228" s="3"/>
      <c r="C228" s="3"/>
      <c r="I228" s="3"/>
      <c r="J228" s="3"/>
      <c r="L228" s="3"/>
    </row>
    <row r="229" ht="15.75" customHeight="1">
      <c r="B229" s="3"/>
      <c r="C229" s="3"/>
      <c r="I229" s="3"/>
      <c r="J229" s="3"/>
      <c r="L229" s="3"/>
    </row>
    <row r="230" ht="15.75" customHeight="1">
      <c r="B230" s="3"/>
      <c r="C230" s="3"/>
      <c r="I230" s="3"/>
      <c r="J230" s="3"/>
      <c r="L230" s="3"/>
    </row>
    <row r="231" ht="15.75" customHeight="1">
      <c r="B231" s="3"/>
      <c r="C231" s="3"/>
      <c r="I231" s="3"/>
      <c r="J231" s="3"/>
      <c r="L231" s="3"/>
    </row>
    <row r="232" ht="15.75" customHeight="1">
      <c r="B232" s="3"/>
      <c r="C232" s="3"/>
      <c r="I232" s="3"/>
      <c r="J232" s="3"/>
      <c r="L232" s="3"/>
    </row>
    <row r="233" ht="15.75" customHeight="1">
      <c r="B233" s="3"/>
      <c r="C233" s="3"/>
      <c r="I233" s="3"/>
      <c r="J233" s="3"/>
      <c r="L233" s="3"/>
    </row>
    <row r="234" ht="15.75" customHeight="1">
      <c r="B234" s="3"/>
      <c r="C234" s="3"/>
      <c r="I234" s="3"/>
      <c r="J234" s="3"/>
      <c r="L234" s="3"/>
    </row>
    <row r="235" ht="15.75" customHeight="1">
      <c r="B235" s="3"/>
      <c r="C235" s="3"/>
      <c r="I235" s="3"/>
      <c r="J235" s="3"/>
      <c r="L235" s="3"/>
    </row>
    <row r="236" ht="15.75" customHeight="1">
      <c r="B236" s="3"/>
      <c r="C236" s="3"/>
      <c r="I236" s="3"/>
      <c r="J236" s="3"/>
      <c r="L236" s="3"/>
    </row>
    <row r="237" ht="15.75" customHeight="1">
      <c r="B237" s="3"/>
      <c r="C237" s="3"/>
      <c r="I237" s="3"/>
      <c r="J237" s="3"/>
      <c r="L237" s="3"/>
    </row>
    <row r="238" ht="15.75" customHeight="1">
      <c r="B238" s="3"/>
      <c r="C238" s="3"/>
      <c r="I238" s="3"/>
      <c r="J238" s="3"/>
      <c r="L238" s="3"/>
    </row>
    <row r="239" ht="15.75" customHeight="1">
      <c r="B239" s="3"/>
      <c r="C239" s="3"/>
      <c r="I239" s="3"/>
      <c r="J239" s="3"/>
      <c r="L239" s="3"/>
    </row>
    <row r="240" ht="15.75" customHeight="1">
      <c r="B240" s="3"/>
      <c r="C240" s="3"/>
      <c r="I240" s="3"/>
      <c r="J240" s="3"/>
      <c r="L240" s="3"/>
    </row>
    <row r="241" ht="15.75" customHeight="1">
      <c r="B241" s="3"/>
      <c r="C241" s="3"/>
      <c r="I241" s="3"/>
      <c r="J241" s="3"/>
      <c r="L241" s="3"/>
    </row>
    <row r="242" ht="15.75" customHeight="1">
      <c r="B242" s="3"/>
      <c r="C242" s="3"/>
      <c r="I242" s="3"/>
      <c r="J242" s="3"/>
      <c r="L242" s="3"/>
    </row>
    <row r="243" ht="15.75" customHeight="1">
      <c r="B243" s="3"/>
      <c r="C243" s="3"/>
      <c r="I243" s="3"/>
      <c r="J243" s="3"/>
      <c r="L243" s="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14"/>
    <col customWidth="1" min="4" max="4" width="14.43"/>
    <col customWidth="1" min="5" max="15" width="18.14"/>
  </cols>
  <sheetData>
    <row r="1">
      <c r="A1" s="3"/>
      <c r="B1" s="3"/>
      <c r="C1" s="3"/>
      <c r="D1" s="3"/>
      <c r="E1" s="3">
        <v>14191.0</v>
      </c>
      <c r="F1" s="3">
        <v>7000.0</v>
      </c>
      <c r="G1" s="3">
        <v>12172.0</v>
      </c>
      <c r="H1" s="3">
        <v>19411.0</v>
      </c>
      <c r="I1" s="3">
        <v>500.0</v>
      </c>
      <c r="J1" s="3">
        <v>1.0</v>
      </c>
      <c r="K1" s="3" t="s">
        <v>786</v>
      </c>
      <c r="L1" s="3">
        <v>365.0</v>
      </c>
      <c r="M1" s="3"/>
      <c r="N1" s="3">
        <v>1.21</v>
      </c>
      <c r="O1" s="3" t="s">
        <v>92</v>
      </c>
    </row>
    <row r="2">
      <c r="A2" s="3" t="s">
        <v>787</v>
      </c>
      <c r="B2" s="3"/>
      <c r="C2" s="3"/>
      <c r="D2" s="3" t="s">
        <v>788</v>
      </c>
      <c r="E2" s="3" t="s">
        <v>789</v>
      </c>
      <c r="F2" s="3" t="s">
        <v>790</v>
      </c>
      <c r="G2" s="3">
        <v>20000.0</v>
      </c>
      <c r="H2" s="3" t="s">
        <v>791</v>
      </c>
      <c r="I2" s="3" t="s">
        <v>792</v>
      </c>
      <c r="J2" s="3" t="s">
        <v>793</v>
      </c>
      <c r="K2" s="3" t="s">
        <v>794</v>
      </c>
      <c r="L2" s="3" t="s">
        <v>795</v>
      </c>
      <c r="M2" s="3" t="s">
        <v>796</v>
      </c>
      <c r="N2" s="3" t="s">
        <v>797</v>
      </c>
      <c r="O2" s="3"/>
    </row>
    <row r="3">
      <c r="A3" s="3" t="s">
        <v>799</v>
      </c>
      <c r="B3" s="3"/>
      <c r="C3" s="3"/>
      <c r="D3" s="60">
        <v>72.0</v>
      </c>
      <c r="E3" s="60">
        <v>102.0</v>
      </c>
      <c r="F3" s="60">
        <v>115.0</v>
      </c>
      <c r="G3" s="60"/>
      <c r="H3" s="60">
        <f t="shared" ref="H3:H6" si="1">D3*E3*F3/$G$2</f>
        <v>42.228</v>
      </c>
      <c r="I3" s="60">
        <f t="shared" ref="I3:I6" si="2">H3/500</f>
        <v>0.084456</v>
      </c>
      <c r="J3" s="60">
        <f>J1/$I$3</f>
        <v>11.84048499</v>
      </c>
      <c r="K3" s="60">
        <v>3.5</v>
      </c>
      <c r="L3" s="792">
        <f t="shared" ref="L3:L6" si="3">M3/$I$1</f>
        <v>107.89254</v>
      </c>
      <c r="M3" s="3">
        <f t="shared" ref="M3:M6" si="4">H3*K3*$L$1</f>
        <v>53946.27</v>
      </c>
      <c r="N3" s="793">
        <f t="shared" ref="N3:N6" si="5">L3*$N$1</f>
        <v>130.5499734</v>
      </c>
      <c r="O3" s="3">
        <f>N3*P3</f>
        <v>0</v>
      </c>
    </row>
    <row r="4">
      <c r="A4" s="3" t="s">
        <v>799</v>
      </c>
      <c r="B4" s="3"/>
      <c r="C4" s="3"/>
      <c r="D4" s="3">
        <v>72.0</v>
      </c>
      <c r="E4" s="3">
        <v>102.0</v>
      </c>
      <c r="F4" s="3">
        <v>150.0</v>
      </c>
      <c r="G4" s="3"/>
      <c r="H4" s="3">
        <f t="shared" si="1"/>
        <v>55.08</v>
      </c>
      <c r="I4" s="3">
        <f t="shared" si="2"/>
        <v>0.11016</v>
      </c>
      <c r="J4" s="3">
        <f>J1/$I$4</f>
        <v>9.077705156</v>
      </c>
      <c r="K4" s="3">
        <v>3.5</v>
      </c>
      <c r="L4" s="792">
        <f t="shared" si="3"/>
        <v>140.7294</v>
      </c>
      <c r="M4" s="3">
        <f t="shared" si="4"/>
        <v>70364.7</v>
      </c>
      <c r="N4" s="793">
        <f t="shared" si="5"/>
        <v>170.282574</v>
      </c>
      <c r="O4" s="3"/>
    </row>
    <row r="5">
      <c r="A5" s="3" t="s">
        <v>799</v>
      </c>
      <c r="B5" s="3"/>
      <c r="C5" s="3"/>
      <c r="D5" s="3">
        <v>72.0</v>
      </c>
      <c r="E5" s="3">
        <v>102.0</v>
      </c>
      <c r="F5" s="3">
        <v>300.0</v>
      </c>
      <c r="G5" s="3"/>
      <c r="H5" s="3">
        <f t="shared" si="1"/>
        <v>110.16</v>
      </c>
      <c r="I5" s="3">
        <f t="shared" si="2"/>
        <v>0.22032</v>
      </c>
      <c r="J5" s="3">
        <f>J1/$I$5</f>
        <v>4.538852578</v>
      </c>
      <c r="K5" s="3">
        <v>3.5</v>
      </c>
      <c r="L5" s="792">
        <f t="shared" si="3"/>
        <v>281.4588</v>
      </c>
      <c r="M5" s="3">
        <f t="shared" si="4"/>
        <v>140729.4</v>
      </c>
      <c r="N5" s="793">
        <f t="shared" si="5"/>
        <v>340.565148</v>
      </c>
      <c r="O5" s="3"/>
    </row>
    <row r="6">
      <c r="A6" s="3" t="s">
        <v>799</v>
      </c>
      <c r="B6" s="3"/>
      <c r="C6" s="3"/>
      <c r="D6" s="3">
        <v>72.0</v>
      </c>
      <c r="E6" s="3">
        <v>102.0</v>
      </c>
      <c r="F6" s="3">
        <v>350.0</v>
      </c>
      <c r="G6" s="3"/>
      <c r="H6" s="3">
        <f t="shared" si="1"/>
        <v>128.52</v>
      </c>
      <c r="I6" s="3">
        <f t="shared" si="2"/>
        <v>0.25704</v>
      </c>
      <c r="J6" s="3">
        <f>J1/$I$6</f>
        <v>3.890445067</v>
      </c>
      <c r="K6" s="3">
        <v>3.5</v>
      </c>
      <c r="L6" s="792">
        <f t="shared" si="3"/>
        <v>328.3686</v>
      </c>
      <c r="M6" s="3">
        <f t="shared" si="4"/>
        <v>164184.3</v>
      </c>
      <c r="N6" s="793">
        <f t="shared" si="5"/>
        <v>397.326006</v>
      </c>
      <c r="O6" s="3"/>
    </row>
    <row r="7">
      <c r="A7" s="794" t="s">
        <v>826</v>
      </c>
      <c r="B7" s="795"/>
      <c r="C7" s="795"/>
      <c r="D7" s="795"/>
      <c r="E7" s="795"/>
      <c r="F7" s="795"/>
      <c r="G7" s="677"/>
      <c r="H7" s="3"/>
      <c r="I7" s="3"/>
      <c r="J7" s="3"/>
      <c r="K7" s="3"/>
      <c r="L7" s="3"/>
      <c r="M7" s="3"/>
      <c r="N7" s="3"/>
      <c r="O7" s="3"/>
    </row>
    <row r="8">
      <c r="A8" s="796"/>
      <c r="B8" s="797"/>
      <c r="C8" s="797"/>
      <c r="D8" s="797"/>
      <c r="E8" s="797"/>
      <c r="F8" s="797"/>
      <c r="G8" s="798"/>
      <c r="H8" s="3"/>
      <c r="I8" s="3"/>
      <c r="J8" s="3"/>
      <c r="K8" s="3"/>
      <c r="L8" s="3"/>
      <c r="M8" s="3"/>
      <c r="N8" s="3"/>
      <c r="O8" s="3"/>
    </row>
    <row r="9">
      <c r="A9" s="799" t="s">
        <v>227</v>
      </c>
      <c r="B9" s="799" t="s">
        <v>827</v>
      </c>
      <c r="C9" s="799" t="s">
        <v>828</v>
      </c>
      <c r="D9" s="799" t="s">
        <v>829</v>
      </c>
      <c r="E9" s="799" t="s">
        <v>830</v>
      </c>
      <c r="F9" s="799" t="s">
        <v>725</v>
      </c>
      <c r="G9" s="799" t="s">
        <v>831</v>
      </c>
      <c r="H9" s="3"/>
      <c r="I9" s="3"/>
      <c r="J9" s="3"/>
      <c r="K9" s="3"/>
      <c r="L9" s="3"/>
      <c r="M9" s="3"/>
      <c r="N9" s="3"/>
      <c r="O9" s="3"/>
    </row>
    <row r="10">
      <c r="A10" s="36" t="s">
        <v>832</v>
      </c>
      <c r="B10" s="36" t="s">
        <v>833</v>
      </c>
      <c r="C10" s="45">
        <v>115.0</v>
      </c>
      <c r="D10" s="45" t="s">
        <v>834</v>
      </c>
      <c r="E10" s="45">
        <v>5000.0</v>
      </c>
      <c r="F10" s="800">
        <v>3.5</v>
      </c>
      <c r="G10" s="800">
        <f t="shared" ref="G10:G13" si="6">+F10*E10</f>
        <v>17500</v>
      </c>
      <c r="H10" s="3"/>
      <c r="I10" s="3"/>
      <c r="J10" s="3"/>
      <c r="K10" s="3"/>
      <c r="L10" s="3"/>
      <c r="M10" s="3"/>
      <c r="N10" s="3"/>
      <c r="O10" s="3"/>
    </row>
    <row r="11">
      <c r="A11" s="36" t="s">
        <v>832</v>
      </c>
      <c r="B11" s="36" t="s">
        <v>833</v>
      </c>
      <c r="C11" s="45">
        <v>150.0</v>
      </c>
      <c r="D11" s="45" t="s">
        <v>835</v>
      </c>
      <c r="E11" s="45">
        <v>10000.0</v>
      </c>
      <c r="F11" s="800">
        <v>3.5</v>
      </c>
      <c r="G11" s="800">
        <f t="shared" si="6"/>
        <v>35000</v>
      </c>
      <c r="H11" s="3"/>
      <c r="I11" s="3"/>
      <c r="J11" s="3"/>
      <c r="K11" s="3"/>
      <c r="L11" s="3"/>
      <c r="M11" s="3"/>
      <c r="N11" s="3"/>
      <c r="O11" s="3"/>
    </row>
    <row r="12">
      <c r="A12" s="36" t="s">
        <v>836</v>
      </c>
      <c r="B12" s="36" t="s">
        <v>833</v>
      </c>
      <c r="C12" s="45">
        <v>300.0</v>
      </c>
      <c r="D12" s="45" t="s">
        <v>834</v>
      </c>
      <c r="E12" s="45">
        <v>7000.0</v>
      </c>
      <c r="F12" s="800">
        <v>3.5</v>
      </c>
      <c r="G12" s="800">
        <f t="shared" si="6"/>
        <v>24500</v>
      </c>
      <c r="H12" s="3"/>
      <c r="I12" s="3"/>
      <c r="J12" s="3"/>
      <c r="K12" s="3"/>
      <c r="L12" s="3"/>
      <c r="M12" s="3"/>
      <c r="N12" s="3"/>
      <c r="O12" s="3"/>
    </row>
    <row r="13">
      <c r="A13" s="36" t="s">
        <v>836</v>
      </c>
      <c r="B13" s="36" t="s">
        <v>833</v>
      </c>
      <c r="C13" s="45">
        <v>350.0</v>
      </c>
      <c r="D13" s="45" t="s">
        <v>834</v>
      </c>
      <c r="E13" s="45">
        <v>15000.0</v>
      </c>
      <c r="F13" s="800">
        <v>3.5</v>
      </c>
      <c r="G13" s="800">
        <f t="shared" si="6"/>
        <v>52500</v>
      </c>
      <c r="H13" s="3"/>
      <c r="I13" s="3"/>
      <c r="J13" s="3"/>
      <c r="K13" s="3"/>
      <c r="L13" s="3"/>
      <c r="M13" s="3"/>
      <c r="N13" s="3"/>
      <c r="O13" s="3"/>
    </row>
    <row r="14">
      <c r="A14" s="3"/>
      <c r="B14" s="3"/>
      <c r="C14" s="3"/>
      <c r="D14" s="3"/>
      <c r="E14" s="3"/>
      <c r="F14" s="801"/>
      <c r="G14" s="801">
        <f>SUM(G10:G13)</f>
        <v>129500</v>
      </c>
      <c r="H14" s="3"/>
      <c r="I14" s="3"/>
      <c r="J14" s="3"/>
      <c r="K14" s="3"/>
      <c r="L14" s="3"/>
      <c r="M14" s="3"/>
      <c r="N14" s="3"/>
      <c r="O14" s="3"/>
    </row>
    <row r="15">
      <c r="A15" s="802" t="s">
        <v>837</v>
      </c>
      <c r="B15" s="515"/>
      <c r="C15" s="515"/>
      <c r="D15" s="515"/>
      <c r="E15" s="515"/>
      <c r="F15" s="515"/>
      <c r="G15" s="476"/>
      <c r="H15" s="3"/>
      <c r="I15" s="3"/>
      <c r="J15" s="3"/>
      <c r="K15" s="3"/>
      <c r="L15" s="3"/>
      <c r="M15" s="3"/>
      <c r="N15" s="3"/>
      <c r="O15" s="3"/>
    </row>
    <row r="16">
      <c r="A16" s="800"/>
      <c r="B16" s="803" t="s">
        <v>838</v>
      </c>
      <c r="C16" s="804"/>
      <c r="D16" s="805" t="s">
        <v>92</v>
      </c>
      <c r="E16" s="805" t="s">
        <v>838</v>
      </c>
      <c r="F16" s="805" t="s">
        <v>839</v>
      </c>
      <c r="G16" s="805" t="s">
        <v>840</v>
      </c>
      <c r="H16" s="3"/>
      <c r="I16" s="3"/>
      <c r="J16" s="3"/>
      <c r="K16" s="3"/>
      <c r="L16" s="3"/>
      <c r="M16" s="3"/>
      <c r="N16" s="3"/>
      <c r="O16" s="3"/>
    </row>
    <row r="17">
      <c r="A17" s="348">
        <v>0.3</v>
      </c>
      <c r="B17" s="806">
        <f>+G14*0.3</f>
        <v>38850</v>
      </c>
      <c r="C17" s="36" t="s">
        <v>841</v>
      </c>
      <c r="D17" s="803">
        <f t="shared" ref="D17:D18" si="7">+B17*0.21</f>
        <v>8158.5</v>
      </c>
      <c r="E17" s="803">
        <f t="shared" ref="E17:E18" si="8">+D17+B17</f>
        <v>47008.5</v>
      </c>
      <c r="F17" s="803">
        <v>47008.5</v>
      </c>
      <c r="G17" s="803">
        <f>+E17-F17</f>
        <v>0</v>
      </c>
      <c r="H17" s="3">
        <v>47008.5</v>
      </c>
      <c r="I17" s="3" t="s">
        <v>842</v>
      </c>
      <c r="J17" s="3"/>
      <c r="K17" s="3"/>
      <c r="L17" s="3"/>
      <c r="M17" s="3"/>
      <c r="N17" s="3"/>
      <c r="O17" s="3"/>
    </row>
    <row r="18">
      <c r="A18" s="807">
        <v>0.2</v>
      </c>
      <c r="B18" s="808">
        <f>+G14*0.2</f>
        <v>25900</v>
      </c>
      <c r="C18" s="809" t="s">
        <v>843</v>
      </c>
      <c r="D18" s="810">
        <f t="shared" si="7"/>
        <v>5439</v>
      </c>
      <c r="E18" s="810">
        <f t="shared" si="8"/>
        <v>31339</v>
      </c>
      <c r="F18" s="803">
        <v>11811.0</v>
      </c>
      <c r="G18" s="810">
        <v>3112.0</v>
      </c>
      <c r="H18" s="3">
        <v>11811.0</v>
      </c>
      <c r="I18" s="3" t="s">
        <v>844</v>
      </c>
      <c r="J18" s="3"/>
      <c r="K18" s="3"/>
      <c r="L18" s="3"/>
      <c r="M18" s="3"/>
      <c r="N18" s="3"/>
      <c r="O18" s="3"/>
    </row>
    <row r="19">
      <c r="A19" s="548"/>
      <c r="B19" s="548"/>
      <c r="C19" s="548"/>
      <c r="D19" s="548"/>
      <c r="E19" s="548"/>
      <c r="F19" s="803">
        <v>16416.0</v>
      </c>
      <c r="G19" s="548"/>
      <c r="H19" s="3">
        <v>16416.0</v>
      </c>
      <c r="I19" s="3" t="s">
        <v>845</v>
      </c>
      <c r="J19" s="3"/>
      <c r="K19" s="3"/>
      <c r="L19" s="3"/>
      <c r="M19" s="3"/>
      <c r="N19" s="3"/>
      <c r="O19" s="3"/>
    </row>
    <row r="20">
      <c r="A20" s="348">
        <v>0.5</v>
      </c>
      <c r="B20" s="806">
        <f>+G14*0.5</f>
        <v>64750</v>
      </c>
      <c r="C20" s="36" t="s">
        <v>846</v>
      </c>
      <c r="D20" s="811">
        <f t="shared" ref="D20:D21" si="9">+B20*0.105</f>
        <v>6798.75</v>
      </c>
      <c r="E20" s="803">
        <f t="shared" ref="E20:E21" si="10">+D20+B20</f>
        <v>71548.75</v>
      </c>
      <c r="F20" s="803">
        <v>13680.0</v>
      </c>
      <c r="G20" s="803">
        <f>+G18+E20-F20</f>
        <v>60980.75</v>
      </c>
      <c r="H20" s="3"/>
      <c r="I20" s="3"/>
      <c r="J20" s="3"/>
      <c r="K20" s="3"/>
      <c r="L20" s="3"/>
      <c r="M20" s="3"/>
      <c r="N20" s="3"/>
      <c r="O20" s="3"/>
    </row>
    <row r="21" ht="15.75" customHeight="1">
      <c r="A21" s="800" t="s">
        <v>847</v>
      </c>
      <c r="B21" s="806">
        <v>4252.0</v>
      </c>
      <c r="C21" s="36" t="s">
        <v>846</v>
      </c>
      <c r="D21" s="811">
        <f t="shared" si="9"/>
        <v>446.46</v>
      </c>
      <c r="E21" s="803">
        <f t="shared" si="10"/>
        <v>4698.46</v>
      </c>
      <c r="F21" s="803">
        <v>0.0</v>
      </c>
      <c r="G21" s="801">
        <f>+G20+E21</f>
        <v>65679.21</v>
      </c>
      <c r="H21" s="803"/>
      <c r="I21" s="3">
        <v>115.0</v>
      </c>
      <c r="J21" s="3">
        <f>J3*H1</f>
        <v>229835.6541</v>
      </c>
      <c r="K21" s="3">
        <f t="shared" ref="K21:K24" si="12">J21*N3</f>
        <v>30005038.53</v>
      </c>
      <c r="L21" s="3"/>
      <c r="M21" s="3"/>
      <c r="N21" s="3"/>
      <c r="O21" s="3"/>
    </row>
    <row r="22" ht="15.75" customHeight="1">
      <c r="A22" s="801"/>
      <c r="B22" s="812">
        <f>SUM(B17:B21)</f>
        <v>133752</v>
      </c>
      <c r="C22" s="3"/>
      <c r="D22" s="813">
        <f t="shared" ref="D22:E22" si="11">SUM(D17:D21)</f>
        <v>20842.71</v>
      </c>
      <c r="E22" s="814">
        <f t="shared" si="11"/>
        <v>154594.71</v>
      </c>
      <c r="F22" s="814"/>
      <c r="G22" s="815"/>
      <c r="H22" s="3"/>
      <c r="I22" s="3">
        <v>150.0</v>
      </c>
      <c r="J22" s="3">
        <f>J4*G1</f>
        <v>110493.8272</v>
      </c>
      <c r="K22" s="3">
        <f t="shared" si="12"/>
        <v>18815173.3</v>
      </c>
      <c r="L22" s="3"/>
      <c r="M22" s="3"/>
      <c r="N22" s="3"/>
      <c r="O22" s="3"/>
    </row>
    <row r="23" ht="15.75" customHeight="1">
      <c r="A23" s="3"/>
      <c r="B23" s="3"/>
      <c r="C23" s="3"/>
      <c r="D23" s="3" t="s">
        <v>848</v>
      </c>
      <c r="E23" s="3"/>
      <c r="F23" s="801"/>
      <c r="G23" s="814" t="s">
        <v>848</v>
      </c>
      <c r="H23" s="3"/>
      <c r="I23" s="3">
        <v>300.0</v>
      </c>
      <c r="J23" s="3">
        <f>J5*F1</f>
        <v>31771.96805</v>
      </c>
      <c r="K23" s="3">
        <f t="shared" si="12"/>
        <v>10820425</v>
      </c>
      <c r="L23" s="3"/>
      <c r="M23" s="3"/>
      <c r="N23" s="3"/>
      <c r="O23" s="3"/>
    </row>
    <row r="24" ht="15.0" customHeight="1">
      <c r="A24" s="816" t="s">
        <v>849</v>
      </c>
      <c r="B24" s="795"/>
      <c r="C24" s="795"/>
      <c r="D24" s="795"/>
      <c r="E24" s="795"/>
      <c r="F24" s="677"/>
      <c r="G24" s="801"/>
      <c r="H24" s="3"/>
      <c r="I24" s="3">
        <v>350.0</v>
      </c>
      <c r="J24" s="3">
        <f>J6*E1</f>
        <v>55209.30594</v>
      </c>
      <c r="K24" s="3">
        <f t="shared" si="12"/>
        <v>21936093.03</v>
      </c>
      <c r="L24" s="3"/>
      <c r="M24" s="3"/>
      <c r="N24" s="3"/>
      <c r="O24" s="3"/>
    </row>
    <row r="25" ht="15.0" customHeight="1">
      <c r="A25" s="796"/>
      <c r="B25" s="797"/>
      <c r="C25" s="797"/>
      <c r="D25" s="797"/>
      <c r="E25" s="797"/>
      <c r="F25" s="798"/>
      <c r="G25" s="801"/>
      <c r="H25" s="3"/>
      <c r="I25" s="3"/>
      <c r="J25" s="3"/>
      <c r="K25" s="108">
        <f>SUM(K21:K24)</f>
        <v>81576729.85</v>
      </c>
      <c r="L25" s="3"/>
      <c r="M25" s="3"/>
      <c r="N25" s="3"/>
      <c r="O25" s="3"/>
    </row>
    <row r="26" ht="15.75" customHeight="1">
      <c r="A26" s="799" t="s">
        <v>227</v>
      </c>
      <c r="B26" s="799" t="s">
        <v>827</v>
      </c>
      <c r="C26" s="799" t="s">
        <v>828</v>
      </c>
      <c r="D26" s="799" t="s">
        <v>829</v>
      </c>
      <c r="E26" s="799" t="s">
        <v>830</v>
      </c>
      <c r="F26" s="799" t="s">
        <v>850</v>
      </c>
      <c r="G26" s="3" t="s">
        <v>848</v>
      </c>
      <c r="H26" s="3"/>
      <c r="I26" s="3"/>
      <c r="J26" s="3"/>
      <c r="K26" s="3"/>
      <c r="L26" s="3"/>
      <c r="M26" s="3"/>
      <c r="N26" s="3"/>
      <c r="O26" s="3"/>
    </row>
    <row r="27" ht="15.75" customHeight="1">
      <c r="A27" s="36" t="s">
        <v>832</v>
      </c>
      <c r="B27" s="36" t="s">
        <v>833</v>
      </c>
      <c r="C27" s="45">
        <v>115.0</v>
      </c>
      <c r="D27" s="45" t="s">
        <v>834</v>
      </c>
      <c r="E27" s="84">
        <v>5000.0</v>
      </c>
      <c r="F27" s="84">
        <v>4852.0</v>
      </c>
      <c r="G27" s="3" t="s">
        <v>848</v>
      </c>
      <c r="H27" s="3"/>
      <c r="I27" s="3"/>
      <c r="J27" s="3"/>
      <c r="K27" s="3"/>
      <c r="L27" s="3"/>
      <c r="M27" s="3"/>
      <c r="N27" s="3"/>
      <c r="O27" s="3"/>
    </row>
    <row r="28" ht="15.75" customHeight="1">
      <c r="A28" s="36" t="s">
        <v>832</v>
      </c>
      <c r="B28" s="36" t="s">
        <v>833</v>
      </c>
      <c r="C28" s="45">
        <v>150.0</v>
      </c>
      <c r="D28" s="45" t="s">
        <v>835</v>
      </c>
      <c r="E28" s="84">
        <v>10000.0</v>
      </c>
      <c r="F28" s="84">
        <v>12172.0</v>
      </c>
      <c r="G28" s="3" t="s">
        <v>848</v>
      </c>
      <c r="H28" s="3"/>
      <c r="I28" s="3"/>
      <c r="J28" s="3"/>
      <c r="K28" s="3"/>
      <c r="L28" s="3"/>
      <c r="M28" s="3"/>
      <c r="N28" s="3"/>
      <c r="O28" s="3"/>
    </row>
    <row r="29" ht="15.75" customHeight="1">
      <c r="A29" s="36" t="s">
        <v>836</v>
      </c>
      <c r="B29" s="36" t="s">
        <v>833</v>
      </c>
      <c r="C29" s="45">
        <v>300.0</v>
      </c>
      <c r="D29" s="45" t="s">
        <v>834</v>
      </c>
      <c r="E29" s="84">
        <v>7000.0</v>
      </c>
      <c r="F29" s="84">
        <v>7000.0</v>
      </c>
      <c r="G29" s="3" t="s">
        <v>848</v>
      </c>
      <c r="H29" s="3"/>
      <c r="I29" s="3"/>
      <c r="J29" s="3"/>
      <c r="K29" s="3"/>
      <c r="L29" s="3"/>
      <c r="M29" s="3"/>
      <c r="N29" s="3"/>
      <c r="O29" s="3"/>
    </row>
    <row r="30" ht="15.75" customHeight="1">
      <c r="A30" s="36" t="s">
        <v>836</v>
      </c>
      <c r="B30" s="36" t="s">
        <v>833</v>
      </c>
      <c r="C30" s="45">
        <v>350.0</v>
      </c>
      <c r="D30" s="45" t="s">
        <v>834</v>
      </c>
      <c r="E30" s="84">
        <v>15000.0</v>
      </c>
      <c r="F30" s="84">
        <v>14191.0</v>
      </c>
      <c r="G30" s="3" t="s">
        <v>848</v>
      </c>
      <c r="H30" s="3"/>
      <c r="I30" s="3"/>
      <c r="J30" s="3"/>
      <c r="K30" s="3"/>
      <c r="L30" s="3"/>
      <c r="M30" s="3"/>
      <c r="N30" s="3"/>
      <c r="O30" s="3"/>
    </row>
    <row r="31" ht="15.75" customHeight="1">
      <c r="A31" s="3"/>
      <c r="B31" s="3"/>
      <c r="C31" s="3"/>
      <c r="D31" s="3"/>
      <c r="E31" s="817">
        <f t="shared" ref="E31:F31" si="13">SUM(E27:E30)</f>
        <v>37000</v>
      </c>
      <c r="F31" s="817">
        <f t="shared" si="13"/>
        <v>38215</v>
      </c>
      <c r="G31" s="801">
        <f>F31*K3</f>
        <v>133752.5</v>
      </c>
      <c r="H31" s="3"/>
      <c r="I31" s="3"/>
      <c r="J31" s="3"/>
      <c r="K31" s="3"/>
      <c r="L31" s="3"/>
      <c r="M31" s="3"/>
      <c r="N31" s="3"/>
      <c r="O31" s="3"/>
    </row>
    <row r="32" ht="15.75" customHeight="1">
      <c r="A32" s="3"/>
      <c r="B32" s="3"/>
      <c r="C32" s="3"/>
      <c r="D32" s="3"/>
      <c r="E32" s="3"/>
      <c r="F32" s="3" t="s">
        <v>851</v>
      </c>
      <c r="G32" s="801">
        <f>D22</f>
        <v>20842.71</v>
      </c>
      <c r="H32" s="3"/>
      <c r="I32" s="3"/>
      <c r="J32" s="3"/>
      <c r="K32" s="3"/>
      <c r="L32" s="3"/>
      <c r="M32" s="3"/>
      <c r="N32" s="3"/>
      <c r="O32" s="3"/>
    </row>
    <row r="33" ht="15.75" customHeight="1">
      <c r="A33" s="3"/>
      <c r="B33" s="3"/>
      <c r="C33" s="3"/>
      <c r="D33" s="3"/>
      <c r="E33" s="3" t="s">
        <v>852</v>
      </c>
      <c r="F33" s="3">
        <f>G33/F31</f>
        <v>4.045406516</v>
      </c>
      <c r="G33" s="801">
        <f>SUM(G31:G32)</f>
        <v>154595.21</v>
      </c>
      <c r="H33" s="3">
        <f>G33*L1</f>
        <v>56427251.65</v>
      </c>
      <c r="I33" s="3"/>
      <c r="J33" s="3"/>
      <c r="K33" s="3"/>
      <c r="L33" s="3"/>
      <c r="M33" s="3"/>
      <c r="N33" s="3"/>
      <c r="O33" s="3"/>
    </row>
    <row r="34" ht="15.75" customHeight="1">
      <c r="A34" s="3"/>
      <c r="B34" s="3"/>
      <c r="C34" s="3"/>
      <c r="D34" s="3"/>
      <c r="E34" s="3" t="s">
        <v>853</v>
      </c>
      <c r="F34" s="3" t="s">
        <v>854</v>
      </c>
      <c r="G34" s="801">
        <f>G36-G33</f>
        <v>112909.79</v>
      </c>
      <c r="H34" s="3">
        <f>G34*L1</f>
        <v>41212073.35</v>
      </c>
      <c r="I34" s="3"/>
      <c r="J34" s="3"/>
      <c r="K34" s="3"/>
      <c r="L34" s="3"/>
      <c r="M34" s="3"/>
      <c r="N34" s="3"/>
      <c r="O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F36" s="3">
        <v>7.0</v>
      </c>
      <c r="G36" s="3">
        <f>F31*F36</f>
        <v>267505</v>
      </c>
      <c r="H36" s="3">
        <f>G36*L1</f>
        <v>97639325</v>
      </c>
    </row>
    <row r="37" ht="15.75" customHeight="1"/>
    <row r="38" ht="15.75" customHeight="1">
      <c r="A38" s="3"/>
      <c r="B38" s="3"/>
      <c r="C38" s="3"/>
      <c r="D38" s="3"/>
      <c r="E38" s="3">
        <v>14191.0</v>
      </c>
      <c r="F38" s="3">
        <v>7000.0</v>
      </c>
      <c r="G38" s="3">
        <v>12172.0</v>
      </c>
      <c r="H38" s="3">
        <v>4852.0</v>
      </c>
      <c r="I38" s="3">
        <v>500.0</v>
      </c>
      <c r="J38" s="3">
        <v>1.0</v>
      </c>
      <c r="K38" s="3" t="s">
        <v>786</v>
      </c>
      <c r="L38" s="3">
        <v>365.0</v>
      </c>
      <c r="M38" s="3"/>
      <c r="N38" s="3">
        <v>1.21</v>
      </c>
      <c r="O38" s="3" t="s">
        <v>92</v>
      </c>
    </row>
    <row r="39" ht="15.75" customHeight="1">
      <c r="A39" s="3" t="s">
        <v>787</v>
      </c>
      <c r="B39" s="3"/>
      <c r="C39" s="3"/>
      <c r="D39" s="3" t="s">
        <v>788</v>
      </c>
      <c r="E39" s="3" t="s">
        <v>789</v>
      </c>
      <c r="F39" s="3" t="s">
        <v>790</v>
      </c>
      <c r="G39" s="3">
        <v>20000.0</v>
      </c>
      <c r="H39" s="3" t="s">
        <v>791</v>
      </c>
      <c r="I39" s="3" t="s">
        <v>792</v>
      </c>
      <c r="J39" s="3" t="s">
        <v>793</v>
      </c>
      <c r="K39" s="3" t="s">
        <v>794</v>
      </c>
      <c r="L39" s="3" t="s">
        <v>795</v>
      </c>
      <c r="M39" s="3" t="s">
        <v>796</v>
      </c>
      <c r="N39" s="3" t="s">
        <v>797</v>
      </c>
      <c r="O39" s="3"/>
    </row>
    <row r="40" ht="15.75" customHeight="1">
      <c r="A40" s="3" t="s">
        <v>799</v>
      </c>
      <c r="B40" s="3"/>
      <c r="C40" s="84">
        <v>19411.0</v>
      </c>
      <c r="D40" s="60">
        <v>72.0</v>
      </c>
      <c r="E40" s="60">
        <v>102.0</v>
      </c>
      <c r="F40" s="60">
        <v>118.0</v>
      </c>
      <c r="G40" s="60"/>
      <c r="H40" s="60">
        <f t="shared" ref="H40:H43" si="14">D40*E40*F40/$G$2</f>
        <v>43.3296</v>
      </c>
      <c r="I40" s="60">
        <f t="shared" ref="I40:I43" si="15">H40/500</f>
        <v>0.0866592</v>
      </c>
      <c r="J40" s="60">
        <f>J38/$I$40</f>
        <v>11.53945571</v>
      </c>
      <c r="K40" s="60">
        <v>1.0</v>
      </c>
      <c r="L40" s="792">
        <f t="shared" ref="L40:L43" si="16">M40/$I$1</f>
        <v>31.630608</v>
      </c>
      <c r="M40" s="3">
        <f t="shared" ref="M40:M43" si="17">H40*K40*$L$1</f>
        <v>15815.304</v>
      </c>
      <c r="N40" s="793">
        <f t="shared" ref="N40:N43" si="18">L40*$N$1</f>
        <v>38.27303568</v>
      </c>
      <c r="O40" s="3">
        <f>N40*P40</f>
        <v>0</v>
      </c>
    </row>
    <row r="41" ht="15.75" customHeight="1">
      <c r="A41" s="3" t="s">
        <v>799</v>
      </c>
      <c r="B41" s="3"/>
      <c r="C41" s="84">
        <v>5012.0</v>
      </c>
      <c r="D41" s="3">
        <v>72.0</v>
      </c>
      <c r="E41" s="3">
        <v>102.0</v>
      </c>
      <c r="F41" s="3">
        <v>150.0</v>
      </c>
      <c r="G41" s="3"/>
      <c r="H41" s="3">
        <f t="shared" si="14"/>
        <v>55.08</v>
      </c>
      <c r="I41" s="3">
        <f t="shared" si="15"/>
        <v>0.11016</v>
      </c>
      <c r="J41" s="3">
        <f>J38/$I$4</f>
        <v>9.077705156</v>
      </c>
      <c r="K41" s="3">
        <v>3.5</v>
      </c>
      <c r="L41" s="792">
        <f t="shared" si="16"/>
        <v>140.7294</v>
      </c>
      <c r="M41" s="3">
        <f t="shared" si="17"/>
        <v>70364.7</v>
      </c>
      <c r="N41" s="793">
        <f t="shared" si="18"/>
        <v>170.282574</v>
      </c>
      <c r="O41" s="3"/>
    </row>
    <row r="42" ht="15.75" customHeight="1">
      <c r="A42" s="3" t="s">
        <v>799</v>
      </c>
      <c r="B42" s="3"/>
      <c r="C42" s="84">
        <v>4936.0</v>
      </c>
      <c r="D42" s="3">
        <v>72.0</v>
      </c>
      <c r="E42" s="3">
        <v>102.0</v>
      </c>
      <c r="F42" s="3">
        <v>300.0</v>
      </c>
      <c r="G42" s="3"/>
      <c r="H42" s="3">
        <f t="shared" si="14"/>
        <v>110.16</v>
      </c>
      <c r="I42" s="3">
        <f t="shared" si="15"/>
        <v>0.22032</v>
      </c>
      <c r="J42" s="3">
        <f>J38/$I$5</f>
        <v>4.538852578</v>
      </c>
      <c r="K42" s="3">
        <v>3.5</v>
      </c>
      <c r="L42" s="792">
        <f t="shared" si="16"/>
        <v>281.4588</v>
      </c>
      <c r="M42" s="3">
        <f t="shared" si="17"/>
        <v>140729.4</v>
      </c>
      <c r="N42" s="793">
        <f t="shared" si="18"/>
        <v>340.565148</v>
      </c>
      <c r="O42" s="3"/>
    </row>
    <row r="43" ht="15.75" customHeight="1">
      <c r="A43" s="3" t="s">
        <v>799</v>
      </c>
      <c r="B43" s="3"/>
      <c r="C43" s="84">
        <v>5190.0</v>
      </c>
      <c r="D43" s="3">
        <v>72.0</v>
      </c>
      <c r="E43" s="3">
        <v>102.0</v>
      </c>
      <c r="F43" s="3">
        <v>350.0</v>
      </c>
      <c r="G43" s="3"/>
      <c r="H43" s="3">
        <f t="shared" si="14"/>
        <v>128.52</v>
      </c>
      <c r="I43" s="3">
        <f t="shared" si="15"/>
        <v>0.25704</v>
      </c>
      <c r="J43" s="3">
        <f>J38/$I$6</f>
        <v>3.890445067</v>
      </c>
      <c r="K43" s="3">
        <v>3.5</v>
      </c>
      <c r="L43" s="792">
        <f t="shared" si="16"/>
        <v>328.3686</v>
      </c>
      <c r="M43" s="3">
        <f t="shared" si="17"/>
        <v>164184.3</v>
      </c>
      <c r="N43" s="793">
        <f t="shared" si="18"/>
        <v>397.326006</v>
      </c>
      <c r="O43" s="3"/>
    </row>
    <row r="44" ht="15.75" customHeight="1"/>
    <row r="45" ht="15.75" customHeight="1">
      <c r="A45" s="816" t="s">
        <v>849</v>
      </c>
      <c r="B45" s="795"/>
      <c r="C45" s="795"/>
      <c r="D45" s="795"/>
      <c r="E45" s="795"/>
      <c r="F45" s="677"/>
      <c r="G45" s="801"/>
      <c r="H45" s="3"/>
    </row>
    <row r="46" ht="15.75" customHeight="1">
      <c r="A46" s="796"/>
      <c r="B46" s="797"/>
      <c r="C46" s="797"/>
      <c r="D46" s="797"/>
      <c r="E46" s="797"/>
      <c r="F46" s="798"/>
      <c r="G46" s="801"/>
      <c r="H46" s="3"/>
    </row>
    <row r="47" ht="15.75" customHeight="1">
      <c r="A47" s="799" t="s">
        <v>227</v>
      </c>
      <c r="B47" s="799" t="s">
        <v>827</v>
      </c>
      <c r="C47" s="799" t="s">
        <v>828</v>
      </c>
      <c r="D47" s="799" t="s">
        <v>829</v>
      </c>
      <c r="E47" s="799" t="s">
        <v>830</v>
      </c>
      <c r="F47" s="799" t="s">
        <v>850</v>
      </c>
      <c r="G47" s="3" t="s">
        <v>848</v>
      </c>
      <c r="H47" s="3"/>
    </row>
    <row r="48" ht="15.75" customHeight="1">
      <c r="A48" s="36" t="s">
        <v>832</v>
      </c>
      <c r="B48" s="36" t="s">
        <v>833</v>
      </c>
      <c r="C48" s="45">
        <v>118.0</v>
      </c>
      <c r="D48" s="45" t="s">
        <v>834</v>
      </c>
      <c r="E48" s="84">
        <v>19411.0</v>
      </c>
      <c r="F48" s="84">
        <v>19411.0</v>
      </c>
      <c r="G48" s="3" t="s">
        <v>848</v>
      </c>
      <c r="H48" s="3"/>
    </row>
    <row r="49" ht="15.75" customHeight="1">
      <c r="A49" s="36" t="s">
        <v>832</v>
      </c>
      <c r="B49" s="36" t="s">
        <v>833</v>
      </c>
      <c r="C49" s="45">
        <v>150.0</v>
      </c>
      <c r="D49" s="45" t="s">
        <v>835</v>
      </c>
      <c r="E49" s="84">
        <v>5012.0</v>
      </c>
      <c r="F49" s="84">
        <v>5012.0</v>
      </c>
      <c r="G49" s="3" t="s">
        <v>848</v>
      </c>
      <c r="H49" s="3"/>
    </row>
    <row r="50" ht="15.75" customHeight="1">
      <c r="A50" s="36" t="s">
        <v>836</v>
      </c>
      <c r="B50" s="36" t="s">
        <v>833</v>
      </c>
      <c r="C50" s="45">
        <v>300.0</v>
      </c>
      <c r="D50" s="45" t="s">
        <v>834</v>
      </c>
      <c r="E50" s="84">
        <v>4936.0</v>
      </c>
      <c r="F50" s="84">
        <v>4936.0</v>
      </c>
      <c r="G50" s="3" t="s">
        <v>848</v>
      </c>
      <c r="H50" s="3"/>
    </row>
    <row r="51" ht="15.75" customHeight="1">
      <c r="A51" s="36" t="s">
        <v>836</v>
      </c>
      <c r="B51" s="36" t="s">
        <v>833</v>
      </c>
      <c r="C51" s="45">
        <v>350.0</v>
      </c>
      <c r="D51" s="45" t="s">
        <v>834</v>
      </c>
      <c r="E51" s="84">
        <v>5190.0</v>
      </c>
      <c r="F51" s="84">
        <v>5190.0</v>
      </c>
      <c r="G51" s="3" t="s">
        <v>848</v>
      </c>
      <c r="H51" s="3" t="s">
        <v>855</v>
      </c>
      <c r="I51" s="3">
        <v>365.5</v>
      </c>
    </row>
    <row r="52" ht="15.75" customHeight="1">
      <c r="A52" s="3"/>
      <c r="B52" s="3"/>
      <c r="C52" s="3"/>
      <c r="D52" s="3"/>
      <c r="E52" s="817">
        <f t="shared" ref="E52:F52" si="19">SUM(E48:E51)</f>
        <v>34549</v>
      </c>
      <c r="F52" s="817">
        <f t="shared" si="19"/>
        <v>34549</v>
      </c>
      <c r="G52" s="801"/>
      <c r="H52" s="3">
        <v>50000.0</v>
      </c>
      <c r="I52" s="3">
        <f>H52*I51</f>
        <v>18275000</v>
      </c>
    </row>
    <row r="53" ht="15.75" customHeight="1">
      <c r="A53" s="3"/>
      <c r="B53" s="3"/>
      <c r="C53" s="3"/>
      <c r="D53" s="3"/>
      <c r="E53" s="3">
        <f t="shared" ref="E53:F53" si="20">H54/E52</f>
        <v>3.031173116</v>
      </c>
      <c r="F53" s="3">
        <f t="shared" si="20"/>
        <v>1107.893774</v>
      </c>
      <c r="G53" s="3"/>
      <c r="H53" s="818">
        <v>54724.0</v>
      </c>
      <c r="I53" s="3">
        <f>H53*I51</f>
        <v>20001622</v>
      </c>
    </row>
    <row r="54" ht="15.75" customHeight="1">
      <c r="A54" s="3"/>
      <c r="B54" s="3"/>
      <c r="C54" s="3"/>
      <c r="D54" s="3"/>
      <c r="E54" s="3"/>
      <c r="F54" s="3"/>
      <c r="G54" s="3"/>
      <c r="H54" s="3">
        <f t="shared" ref="H54:I54" si="21">SUM(H52:H53)</f>
        <v>104724</v>
      </c>
      <c r="I54" s="107">
        <f t="shared" si="21"/>
        <v>38276622</v>
      </c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18:E19"/>
    <mergeCell ref="A24:F25"/>
    <mergeCell ref="A45:F46"/>
    <mergeCell ref="A7:G8"/>
    <mergeCell ref="A15:G15"/>
    <mergeCell ref="A18:A19"/>
    <mergeCell ref="B18:B19"/>
    <mergeCell ref="C18:C19"/>
    <mergeCell ref="D18:D19"/>
    <mergeCell ref="G18:G19"/>
  </mergeCells>
  <printOptions/>
  <pageMargins bottom="0.75" footer="0.0" header="0.0" left="0.7" right="0.7" top="0.75"/>
  <pageSetup orientation="landscape"/>
  <drawing r:id="rId1"/>
</worksheet>
</file>